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课题\20260511 小论文\0817\"/>
    </mc:Choice>
  </mc:AlternateContent>
  <xr:revisionPtr revIDLastSave="0" documentId="13_ncr:1_{76FC534A-1350-40FD-9259-991171BE84C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逐年各县区发病率" sheetId="2" r:id="rId1"/>
    <sheet name="年均报告发病率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2" i="1" l="1"/>
  <c r="O91" i="1"/>
  <c r="O90" i="1"/>
  <c r="O89" i="1"/>
  <c r="O88" i="1"/>
  <c r="O87" i="1"/>
  <c r="N92" i="1"/>
  <c r="N91" i="1"/>
  <c r="N90" i="1"/>
  <c r="N89" i="1"/>
  <c r="N88" i="1"/>
  <c r="N87" i="1"/>
  <c r="L81" i="1"/>
  <c r="L8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H156" i="1"/>
  <c r="H155" i="1"/>
  <c r="H154" i="1"/>
  <c r="H153" i="1"/>
  <c r="H152" i="1"/>
  <c r="H151" i="1"/>
  <c r="H150" i="1"/>
  <c r="H9" i="1"/>
  <c r="H8" i="1"/>
  <c r="H7" i="1"/>
  <c r="H6" i="1"/>
  <c r="H5" i="1"/>
  <c r="H4" i="1"/>
  <c r="H3" i="1"/>
  <c r="H16" i="1"/>
  <c r="H15" i="1"/>
  <c r="H14" i="1"/>
  <c r="H13" i="1"/>
  <c r="H12" i="1"/>
  <c r="H11" i="1"/>
  <c r="H10" i="1"/>
  <c r="H23" i="1"/>
  <c r="H22" i="1"/>
  <c r="H21" i="1"/>
  <c r="H20" i="1"/>
  <c r="H19" i="1"/>
  <c r="H18" i="1"/>
  <c r="H17" i="1"/>
  <c r="H30" i="1"/>
  <c r="H29" i="1"/>
  <c r="H28" i="1"/>
  <c r="H27" i="1"/>
  <c r="H26" i="1"/>
  <c r="H25" i="1"/>
  <c r="H24" i="1"/>
  <c r="H37" i="1"/>
  <c r="H36" i="1"/>
  <c r="H35" i="1"/>
  <c r="H34" i="1"/>
  <c r="H33" i="1"/>
  <c r="H32" i="1"/>
  <c r="H31" i="1"/>
  <c r="H44" i="1"/>
  <c r="H43" i="1"/>
  <c r="H42" i="1"/>
  <c r="H41" i="1"/>
  <c r="H40" i="1"/>
  <c r="H39" i="1"/>
  <c r="H38" i="1"/>
  <c r="H51" i="1"/>
  <c r="H50" i="1"/>
  <c r="H49" i="1"/>
  <c r="H48" i="1"/>
  <c r="H47" i="1"/>
  <c r="H46" i="1"/>
  <c r="H45" i="1"/>
  <c r="H58" i="1"/>
  <c r="H57" i="1"/>
  <c r="H56" i="1"/>
  <c r="H55" i="1"/>
  <c r="H54" i="1"/>
  <c r="H53" i="1"/>
  <c r="H52" i="1"/>
  <c r="H65" i="1"/>
  <c r="H64" i="1"/>
  <c r="H63" i="1"/>
  <c r="H62" i="1"/>
  <c r="H61" i="1"/>
  <c r="H60" i="1"/>
  <c r="H59" i="1"/>
  <c r="H67" i="1"/>
  <c r="H72" i="1"/>
  <c r="H71" i="1"/>
  <c r="H70" i="1"/>
  <c r="H69" i="1"/>
  <c r="H68" i="1"/>
  <c r="H66" i="1"/>
  <c r="H73" i="1"/>
  <c r="H74" i="1"/>
  <c r="H75" i="1"/>
  <c r="H76" i="1"/>
  <c r="H77" i="1"/>
  <c r="H78" i="1"/>
  <c r="H79" i="1"/>
  <c r="E73" i="1"/>
  <c r="E74" i="1"/>
  <c r="E75" i="1"/>
  <c r="E76" i="1"/>
  <c r="E77" i="1"/>
  <c r="E78" i="1"/>
  <c r="E79" i="1"/>
  <c r="E81" i="1"/>
  <c r="E82" i="1"/>
  <c r="E83" i="1"/>
  <c r="E84" i="1"/>
  <c r="E85" i="1"/>
  <c r="E86" i="1"/>
  <c r="E80" i="1"/>
  <c r="H80" i="1"/>
  <c r="J80" i="1" s="1"/>
  <c r="H149" i="1"/>
  <c r="J149" i="1" s="1"/>
  <c r="H148" i="1"/>
  <c r="J148" i="1" s="1"/>
  <c r="H147" i="1"/>
  <c r="J147" i="1" s="1"/>
  <c r="H146" i="1"/>
  <c r="J146" i="1" s="1"/>
  <c r="H145" i="1"/>
  <c r="J145" i="1" s="1"/>
  <c r="H144" i="1"/>
  <c r="J144" i="1" s="1"/>
  <c r="H143" i="1"/>
  <c r="J143" i="1" s="1"/>
  <c r="H142" i="1"/>
  <c r="H141" i="1"/>
  <c r="J141" i="1" s="1"/>
  <c r="H140" i="1"/>
  <c r="J140" i="1" s="1"/>
  <c r="H139" i="1"/>
  <c r="J139" i="1" s="1"/>
  <c r="H138" i="1"/>
  <c r="J138" i="1" s="1"/>
  <c r="H137" i="1"/>
  <c r="J137" i="1" s="1"/>
  <c r="H136" i="1"/>
  <c r="J136" i="1" s="1"/>
  <c r="H135" i="1"/>
  <c r="J135" i="1" s="1"/>
  <c r="H134" i="1"/>
  <c r="J134" i="1" s="1"/>
  <c r="H133" i="1"/>
  <c r="J133" i="1" s="1"/>
  <c r="H132" i="1"/>
  <c r="J132" i="1" s="1"/>
  <c r="H131" i="1"/>
  <c r="J131" i="1" s="1"/>
  <c r="H130" i="1"/>
  <c r="J130" i="1" s="1"/>
  <c r="H129" i="1"/>
  <c r="J129" i="1" s="1"/>
  <c r="H128" i="1"/>
  <c r="J128" i="1" s="1"/>
  <c r="H127" i="1"/>
  <c r="J127" i="1" s="1"/>
  <c r="H126" i="1"/>
  <c r="J126" i="1" s="1"/>
  <c r="H125" i="1"/>
  <c r="J125" i="1" s="1"/>
  <c r="H124" i="1"/>
  <c r="J124" i="1" s="1"/>
  <c r="H123" i="1"/>
  <c r="J123" i="1" s="1"/>
  <c r="H122" i="1"/>
  <c r="J122" i="1" s="1"/>
  <c r="H121" i="1"/>
  <c r="J121" i="1" s="1"/>
  <c r="H120" i="1"/>
  <c r="J120" i="1" s="1"/>
  <c r="H119" i="1"/>
  <c r="J119" i="1" s="1"/>
  <c r="H118" i="1"/>
  <c r="J118" i="1" s="1"/>
  <c r="H117" i="1"/>
  <c r="J117" i="1" s="1"/>
  <c r="H116" i="1"/>
  <c r="J116" i="1" s="1"/>
  <c r="H115" i="1"/>
  <c r="J115" i="1" s="1"/>
  <c r="H114" i="1"/>
  <c r="J114" i="1" s="1"/>
  <c r="H113" i="1"/>
  <c r="J113" i="1" s="1"/>
  <c r="H112" i="1"/>
  <c r="J112" i="1" s="1"/>
  <c r="H111" i="1"/>
  <c r="J111" i="1" s="1"/>
  <c r="H110" i="1"/>
  <c r="H109" i="1"/>
  <c r="J109" i="1" s="1"/>
  <c r="H108" i="1"/>
  <c r="J108" i="1" s="1"/>
  <c r="H107" i="1"/>
  <c r="J107" i="1" s="1"/>
  <c r="H106" i="1"/>
  <c r="J106" i="1" s="1"/>
  <c r="H105" i="1"/>
  <c r="J105" i="1" s="1"/>
  <c r="H104" i="1"/>
  <c r="J104" i="1" s="1"/>
  <c r="H103" i="1"/>
  <c r="J103" i="1" s="1"/>
  <c r="H102" i="1"/>
  <c r="J102" i="1" s="1"/>
  <c r="H101" i="1"/>
  <c r="J101" i="1" s="1"/>
  <c r="H100" i="1"/>
  <c r="J100" i="1" s="1"/>
  <c r="H99" i="1"/>
  <c r="J99" i="1" s="1"/>
  <c r="H98" i="1"/>
  <c r="J98" i="1" s="1"/>
  <c r="H97" i="1"/>
  <c r="J97" i="1" s="1"/>
  <c r="H96" i="1"/>
  <c r="J96" i="1" s="1"/>
  <c r="H95" i="1"/>
  <c r="J95" i="1" s="1"/>
  <c r="H94" i="1"/>
  <c r="J94" i="1" s="1"/>
  <c r="H93" i="1"/>
  <c r="J93" i="1" s="1"/>
  <c r="H92" i="1"/>
  <c r="J92" i="1" s="1"/>
  <c r="H91" i="1"/>
  <c r="J91" i="1" s="1"/>
  <c r="H90" i="1"/>
  <c r="J90" i="1" s="1"/>
  <c r="H89" i="1"/>
  <c r="J89" i="1" s="1"/>
  <c r="H88" i="1"/>
  <c r="J88" i="1" s="1"/>
  <c r="H87" i="1"/>
  <c r="J87" i="1" s="1"/>
  <c r="H86" i="1"/>
  <c r="J86" i="1" s="1"/>
  <c r="H85" i="1"/>
  <c r="J85" i="1" s="1"/>
  <c r="H84" i="1"/>
  <c r="J84" i="1" s="1"/>
  <c r="H83" i="1"/>
  <c r="H82" i="1"/>
  <c r="J82" i="1" s="1"/>
  <c r="H81" i="1"/>
  <c r="L82" i="1" l="1"/>
  <c r="P87" i="1"/>
  <c r="P89" i="1"/>
  <c r="P88" i="1"/>
  <c r="P92" i="1"/>
  <c r="J110" i="1"/>
  <c r="J142" i="1"/>
  <c r="P90" i="1"/>
  <c r="J81" i="1"/>
  <c r="P91" i="1"/>
  <c r="J83" i="1"/>
</calcChain>
</file>

<file path=xl/sharedStrings.xml><?xml version="1.0" encoding="utf-8"?>
<sst xmlns="http://schemas.openxmlformats.org/spreadsheetml/2006/main" count="345" uniqueCount="26">
  <si>
    <t>数据导出条件：现住址类型为本县区+本市其他县区+本省其他地市+其他省，
诊断状态为急性病+慢性病+未分类，病例类型为临床诊断病例+确诊病例</t>
  </si>
  <si>
    <t>数据导出条件：现住址类型为本县区+本市其他县区，
诊断状态为急性病+慢性病+未分类，病例类型为临床诊断病例+确诊病例</t>
  </si>
  <si>
    <t>兴庆区：640104000</t>
  </si>
  <si>
    <t>西夏区：640105000</t>
  </si>
  <si>
    <t>金凤区：
640106000</t>
  </si>
  <si>
    <t>永宁县：
640121000</t>
  </si>
  <si>
    <t>贺兰县：
640122000</t>
  </si>
  <si>
    <t>灵武市：
640181000</t>
  </si>
  <si>
    <t>年份</t>
  </si>
  <si>
    <t>地区</t>
  </si>
  <si>
    <t>发病数</t>
  </si>
  <si>
    <t>发病率</t>
  </si>
  <si>
    <t>人口数</t>
  </si>
  <si>
    <t>根据个案信息统计出的发病数</t>
  </si>
  <si>
    <t>银川市</t>
  </si>
  <si>
    <t>总发病数</t>
  </si>
  <si>
    <t>兴庆区</t>
  </si>
  <si>
    <t>总人口数</t>
  </si>
  <si>
    <t>西夏区</t>
  </si>
  <si>
    <t>金凤区</t>
  </si>
  <si>
    <t>永宁县</t>
  </si>
  <si>
    <t>贺兰县</t>
  </si>
  <si>
    <t>灵武市</t>
  </si>
  <si>
    <t>年均报告发病率</t>
  </si>
  <si>
    <t>发病率（/10万）</t>
    <phoneticPr fontId="2" type="noConversion"/>
  </si>
  <si>
    <t>县区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</si>
</sst>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747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3C78-311F-4708-B837-A6D653676000}">
  <dimension ref="A1:E148"/>
  <sheetViews>
    <sheetView tabSelected="1" workbookViewId="0">
      <selection activeCell="D143" sqref="D143"/>
    </sheetView>
  </sheetViews>
  <sheetFormatPr defaultColWidth="8.83203125" defaultRowHeight="14" x14ac:dyDescent="0.3"/>
  <cols>
    <col min="1" max="3" width="8.83203125" style="12"/>
    <col min="4" max="5" width="16.9140625" style="12" customWidth="1"/>
    <col min="6" max="248" width="8.83203125" style="12"/>
    <col min="249" max="249" width="13.4140625" style="12" customWidth="1"/>
    <col min="250" max="250" width="0.6640625" style="12" customWidth="1"/>
    <col min="251" max="252" width="8.83203125" style="12"/>
    <col min="253" max="253" width="28.5" style="12" customWidth="1"/>
    <col min="254" max="254" width="15.33203125" style="12" customWidth="1"/>
    <col min="255" max="255" width="12.83203125" style="12" bestFit="1" customWidth="1"/>
    <col min="256" max="256" width="8.83203125" style="12"/>
    <col min="257" max="257" width="12.83203125" style="12" bestFit="1" customWidth="1"/>
    <col min="258" max="259" width="8.83203125" style="12"/>
    <col min="260" max="261" width="12.83203125" style="12" bestFit="1" customWidth="1"/>
    <col min="262" max="504" width="8.83203125" style="12"/>
    <col min="505" max="505" width="13.4140625" style="12" customWidth="1"/>
    <col min="506" max="506" width="0.6640625" style="12" customWidth="1"/>
    <col min="507" max="508" width="8.83203125" style="12"/>
    <col min="509" max="509" width="28.5" style="12" customWidth="1"/>
    <col min="510" max="510" width="15.33203125" style="12" customWidth="1"/>
    <col min="511" max="511" width="12.83203125" style="12" bestFit="1" customWidth="1"/>
    <col min="512" max="512" width="8.83203125" style="12"/>
    <col min="513" max="513" width="12.83203125" style="12" bestFit="1" customWidth="1"/>
    <col min="514" max="515" width="8.83203125" style="12"/>
    <col min="516" max="517" width="12.83203125" style="12" bestFit="1" customWidth="1"/>
    <col min="518" max="760" width="8.83203125" style="12"/>
    <col min="761" max="761" width="13.4140625" style="12" customWidth="1"/>
    <col min="762" max="762" width="0.6640625" style="12" customWidth="1"/>
    <col min="763" max="764" width="8.83203125" style="12"/>
    <col min="765" max="765" width="28.5" style="12" customWidth="1"/>
    <col min="766" max="766" width="15.33203125" style="12" customWidth="1"/>
    <col min="767" max="767" width="12.83203125" style="12" bestFit="1" customWidth="1"/>
    <col min="768" max="768" width="8.83203125" style="12"/>
    <col min="769" max="769" width="12.83203125" style="12" bestFit="1" customWidth="1"/>
    <col min="770" max="771" width="8.83203125" style="12"/>
    <col min="772" max="773" width="12.83203125" style="12" bestFit="1" customWidth="1"/>
    <col min="774" max="1016" width="8.83203125" style="12"/>
    <col min="1017" max="1017" width="13.4140625" style="12" customWidth="1"/>
    <col min="1018" max="1018" width="0.6640625" style="12" customWidth="1"/>
    <col min="1019" max="1020" width="8.83203125" style="12"/>
    <col min="1021" max="1021" width="28.5" style="12" customWidth="1"/>
    <col min="1022" max="1022" width="15.33203125" style="12" customWidth="1"/>
    <col min="1023" max="1023" width="12.83203125" style="12" bestFit="1" customWidth="1"/>
    <col min="1024" max="1024" width="8.83203125" style="12"/>
    <col min="1025" max="1025" width="12.83203125" style="12" bestFit="1" customWidth="1"/>
    <col min="1026" max="1027" width="8.83203125" style="12"/>
    <col min="1028" max="1029" width="12.83203125" style="12" bestFit="1" customWidth="1"/>
    <col min="1030" max="1272" width="8.83203125" style="12"/>
    <col min="1273" max="1273" width="13.4140625" style="12" customWidth="1"/>
    <col min="1274" max="1274" width="0.6640625" style="12" customWidth="1"/>
    <col min="1275" max="1276" width="8.83203125" style="12"/>
    <col min="1277" max="1277" width="28.5" style="12" customWidth="1"/>
    <col min="1278" max="1278" width="15.33203125" style="12" customWidth="1"/>
    <col min="1279" max="1279" width="12.83203125" style="12" bestFit="1" customWidth="1"/>
    <col min="1280" max="1280" width="8.83203125" style="12"/>
    <col min="1281" max="1281" width="12.83203125" style="12" bestFit="1" customWidth="1"/>
    <col min="1282" max="1283" width="8.83203125" style="12"/>
    <col min="1284" max="1285" width="12.83203125" style="12" bestFit="1" customWidth="1"/>
    <col min="1286" max="1528" width="8.83203125" style="12"/>
    <col min="1529" max="1529" width="13.4140625" style="12" customWidth="1"/>
    <col min="1530" max="1530" width="0.6640625" style="12" customWidth="1"/>
    <col min="1531" max="1532" width="8.83203125" style="12"/>
    <col min="1533" max="1533" width="28.5" style="12" customWidth="1"/>
    <col min="1534" max="1534" width="15.33203125" style="12" customWidth="1"/>
    <col min="1535" max="1535" width="12.83203125" style="12" bestFit="1" customWidth="1"/>
    <col min="1536" max="1536" width="8.83203125" style="12"/>
    <col min="1537" max="1537" width="12.83203125" style="12" bestFit="1" customWidth="1"/>
    <col min="1538" max="1539" width="8.83203125" style="12"/>
    <col min="1540" max="1541" width="12.83203125" style="12" bestFit="1" customWidth="1"/>
    <col min="1542" max="1784" width="8.83203125" style="12"/>
    <col min="1785" max="1785" width="13.4140625" style="12" customWidth="1"/>
    <col min="1786" max="1786" width="0.6640625" style="12" customWidth="1"/>
    <col min="1787" max="1788" width="8.83203125" style="12"/>
    <col min="1789" max="1789" width="28.5" style="12" customWidth="1"/>
    <col min="1790" max="1790" width="15.33203125" style="12" customWidth="1"/>
    <col min="1791" max="1791" width="12.83203125" style="12" bestFit="1" customWidth="1"/>
    <col min="1792" max="1792" width="8.83203125" style="12"/>
    <col min="1793" max="1793" width="12.83203125" style="12" bestFit="1" customWidth="1"/>
    <col min="1794" max="1795" width="8.83203125" style="12"/>
    <col min="1796" max="1797" width="12.83203125" style="12" bestFit="1" customWidth="1"/>
    <col min="1798" max="2040" width="8.83203125" style="12"/>
    <col min="2041" max="2041" width="13.4140625" style="12" customWidth="1"/>
    <col min="2042" max="2042" width="0.6640625" style="12" customWidth="1"/>
    <col min="2043" max="2044" width="8.83203125" style="12"/>
    <col min="2045" max="2045" width="28.5" style="12" customWidth="1"/>
    <col min="2046" max="2046" width="15.33203125" style="12" customWidth="1"/>
    <col min="2047" max="2047" width="12.83203125" style="12" bestFit="1" customWidth="1"/>
    <col min="2048" max="2048" width="8.83203125" style="12"/>
    <col min="2049" max="2049" width="12.83203125" style="12" bestFit="1" customWidth="1"/>
    <col min="2050" max="2051" width="8.83203125" style="12"/>
    <col min="2052" max="2053" width="12.83203125" style="12" bestFit="1" customWidth="1"/>
    <col min="2054" max="2296" width="8.83203125" style="12"/>
    <col min="2297" max="2297" width="13.4140625" style="12" customWidth="1"/>
    <col min="2298" max="2298" width="0.6640625" style="12" customWidth="1"/>
    <col min="2299" max="2300" width="8.83203125" style="12"/>
    <col min="2301" max="2301" width="28.5" style="12" customWidth="1"/>
    <col min="2302" max="2302" width="15.33203125" style="12" customWidth="1"/>
    <col min="2303" max="2303" width="12.83203125" style="12" bestFit="1" customWidth="1"/>
    <col min="2304" max="2304" width="8.83203125" style="12"/>
    <col min="2305" max="2305" width="12.83203125" style="12" bestFit="1" customWidth="1"/>
    <col min="2306" max="2307" width="8.83203125" style="12"/>
    <col min="2308" max="2309" width="12.83203125" style="12" bestFit="1" customWidth="1"/>
    <col min="2310" max="2552" width="8.83203125" style="12"/>
    <col min="2553" max="2553" width="13.4140625" style="12" customWidth="1"/>
    <col min="2554" max="2554" width="0.6640625" style="12" customWidth="1"/>
    <col min="2555" max="2556" width="8.83203125" style="12"/>
    <col min="2557" max="2557" width="28.5" style="12" customWidth="1"/>
    <col min="2558" max="2558" width="15.33203125" style="12" customWidth="1"/>
    <col min="2559" max="2559" width="12.83203125" style="12" bestFit="1" customWidth="1"/>
    <col min="2560" max="2560" width="8.83203125" style="12"/>
    <col min="2561" max="2561" width="12.83203125" style="12" bestFit="1" customWidth="1"/>
    <col min="2562" max="2563" width="8.83203125" style="12"/>
    <col min="2564" max="2565" width="12.83203125" style="12" bestFit="1" customWidth="1"/>
    <col min="2566" max="2808" width="8.83203125" style="12"/>
    <col min="2809" max="2809" width="13.4140625" style="12" customWidth="1"/>
    <col min="2810" max="2810" width="0.6640625" style="12" customWidth="1"/>
    <col min="2811" max="2812" width="8.83203125" style="12"/>
    <col min="2813" max="2813" width="28.5" style="12" customWidth="1"/>
    <col min="2814" max="2814" width="15.33203125" style="12" customWidth="1"/>
    <col min="2815" max="2815" width="12.83203125" style="12" bestFit="1" customWidth="1"/>
    <col min="2816" max="2816" width="8.83203125" style="12"/>
    <col min="2817" max="2817" width="12.83203125" style="12" bestFit="1" customWidth="1"/>
    <col min="2818" max="2819" width="8.83203125" style="12"/>
    <col min="2820" max="2821" width="12.83203125" style="12" bestFit="1" customWidth="1"/>
    <col min="2822" max="3064" width="8.83203125" style="12"/>
    <col min="3065" max="3065" width="13.4140625" style="12" customWidth="1"/>
    <col min="3066" max="3066" width="0.6640625" style="12" customWidth="1"/>
    <col min="3067" max="3068" width="8.83203125" style="12"/>
    <col min="3069" max="3069" width="28.5" style="12" customWidth="1"/>
    <col min="3070" max="3070" width="15.33203125" style="12" customWidth="1"/>
    <col min="3071" max="3071" width="12.83203125" style="12" bestFit="1" customWidth="1"/>
    <col min="3072" max="3072" width="8.83203125" style="12"/>
    <col min="3073" max="3073" width="12.83203125" style="12" bestFit="1" customWidth="1"/>
    <col min="3074" max="3075" width="8.83203125" style="12"/>
    <col min="3076" max="3077" width="12.83203125" style="12" bestFit="1" customWidth="1"/>
    <col min="3078" max="3320" width="8.83203125" style="12"/>
    <col min="3321" max="3321" width="13.4140625" style="12" customWidth="1"/>
    <col min="3322" max="3322" width="0.6640625" style="12" customWidth="1"/>
    <col min="3323" max="3324" width="8.83203125" style="12"/>
    <col min="3325" max="3325" width="28.5" style="12" customWidth="1"/>
    <col min="3326" max="3326" width="15.33203125" style="12" customWidth="1"/>
    <col min="3327" max="3327" width="12.83203125" style="12" bestFit="1" customWidth="1"/>
    <col min="3328" max="3328" width="8.83203125" style="12"/>
    <col min="3329" max="3329" width="12.83203125" style="12" bestFit="1" customWidth="1"/>
    <col min="3330" max="3331" width="8.83203125" style="12"/>
    <col min="3332" max="3333" width="12.83203125" style="12" bestFit="1" customWidth="1"/>
    <col min="3334" max="3576" width="8.83203125" style="12"/>
    <col min="3577" max="3577" width="13.4140625" style="12" customWidth="1"/>
    <col min="3578" max="3578" width="0.6640625" style="12" customWidth="1"/>
    <col min="3579" max="3580" width="8.83203125" style="12"/>
    <col min="3581" max="3581" width="28.5" style="12" customWidth="1"/>
    <col min="3582" max="3582" width="15.33203125" style="12" customWidth="1"/>
    <col min="3583" max="3583" width="12.83203125" style="12" bestFit="1" customWidth="1"/>
    <col min="3584" max="3584" width="8.83203125" style="12"/>
    <col min="3585" max="3585" width="12.83203125" style="12" bestFit="1" customWidth="1"/>
    <col min="3586" max="3587" width="8.83203125" style="12"/>
    <col min="3588" max="3589" width="12.83203125" style="12" bestFit="1" customWidth="1"/>
    <col min="3590" max="3832" width="8.83203125" style="12"/>
    <col min="3833" max="3833" width="13.4140625" style="12" customWidth="1"/>
    <col min="3834" max="3834" width="0.6640625" style="12" customWidth="1"/>
    <col min="3835" max="3836" width="8.83203125" style="12"/>
    <col min="3837" max="3837" width="28.5" style="12" customWidth="1"/>
    <col min="3838" max="3838" width="15.33203125" style="12" customWidth="1"/>
    <col min="3839" max="3839" width="12.83203125" style="12" bestFit="1" customWidth="1"/>
    <col min="3840" max="3840" width="8.83203125" style="12"/>
    <col min="3841" max="3841" width="12.83203125" style="12" bestFit="1" customWidth="1"/>
    <col min="3842" max="3843" width="8.83203125" style="12"/>
    <col min="3844" max="3845" width="12.83203125" style="12" bestFit="1" customWidth="1"/>
    <col min="3846" max="4088" width="8.83203125" style="12"/>
    <col min="4089" max="4089" width="13.4140625" style="12" customWidth="1"/>
    <col min="4090" max="4090" width="0.6640625" style="12" customWidth="1"/>
    <col min="4091" max="4092" width="8.83203125" style="12"/>
    <col min="4093" max="4093" width="28.5" style="12" customWidth="1"/>
    <col min="4094" max="4094" width="15.33203125" style="12" customWidth="1"/>
    <col min="4095" max="4095" width="12.83203125" style="12" bestFit="1" customWidth="1"/>
    <col min="4096" max="4096" width="8.83203125" style="12"/>
    <col min="4097" max="4097" width="12.83203125" style="12" bestFit="1" customWidth="1"/>
    <col min="4098" max="4099" width="8.83203125" style="12"/>
    <col min="4100" max="4101" width="12.83203125" style="12" bestFit="1" customWidth="1"/>
    <col min="4102" max="4344" width="8.83203125" style="12"/>
    <col min="4345" max="4345" width="13.4140625" style="12" customWidth="1"/>
    <col min="4346" max="4346" width="0.6640625" style="12" customWidth="1"/>
    <col min="4347" max="4348" width="8.83203125" style="12"/>
    <col min="4349" max="4349" width="28.5" style="12" customWidth="1"/>
    <col min="4350" max="4350" width="15.33203125" style="12" customWidth="1"/>
    <col min="4351" max="4351" width="12.83203125" style="12" bestFit="1" customWidth="1"/>
    <col min="4352" max="4352" width="8.83203125" style="12"/>
    <col min="4353" max="4353" width="12.83203125" style="12" bestFit="1" customWidth="1"/>
    <col min="4354" max="4355" width="8.83203125" style="12"/>
    <col min="4356" max="4357" width="12.83203125" style="12" bestFit="1" customWidth="1"/>
    <col min="4358" max="4600" width="8.83203125" style="12"/>
    <col min="4601" max="4601" width="13.4140625" style="12" customWidth="1"/>
    <col min="4602" max="4602" width="0.6640625" style="12" customWidth="1"/>
    <col min="4603" max="4604" width="8.83203125" style="12"/>
    <col min="4605" max="4605" width="28.5" style="12" customWidth="1"/>
    <col min="4606" max="4606" width="15.33203125" style="12" customWidth="1"/>
    <col min="4607" max="4607" width="12.83203125" style="12" bestFit="1" customWidth="1"/>
    <col min="4608" max="4608" width="8.83203125" style="12"/>
    <col min="4609" max="4609" width="12.83203125" style="12" bestFit="1" customWidth="1"/>
    <col min="4610" max="4611" width="8.83203125" style="12"/>
    <col min="4612" max="4613" width="12.83203125" style="12" bestFit="1" customWidth="1"/>
    <col min="4614" max="4856" width="8.83203125" style="12"/>
    <col min="4857" max="4857" width="13.4140625" style="12" customWidth="1"/>
    <col min="4858" max="4858" width="0.6640625" style="12" customWidth="1"/>
    <col min="4859" max="4860" width="8.83203125" style="12"/>
    <col min="4861" max="4861" width="28.5" style="12" customWidth="1"/>
    <col min="4862" max="4862" width="15.33203125" style="12" customWidth="1"/>
    <col min="4863" max="4863" width="12.83203125" style="12" bestFit="1" customWidth="1"/>
    <col min="4864" max="4864" width="8.83203125" style="12"/>
    <col min="4865" max="4865" width="12.83203125" style="12" bestFit="1" customWidth="1"/>
    <col min="4866" max="4867" width="8.83203125" style="12"/>
    <col min="4868" max="4869" width="12.83203125" style="12" bestFit="1" customWidth="1"/>
    <col min="4870" max="5112" width="8.83203125" style="12"/>
    <col min="5113" max="5113" width="13.4140625" style="12" customWidth="1"/>
    <col min="5114" max="5114" width="0.6640625" style="12" customWidth="1"/>
    <col min="5115" max="5116" width="8.83203125" style="12"/>
    <col min="5117" max="5117" width="28.5" style="12" customWidth="1"/>
    <col min="5118" max="5118" width="15.33203125" style="12" customWidth="1"/>
    <col min="5119" max="5119" width="12.83203125" style="12" bestFit="1" customWidth="1"/>
    <col min="5120" max="5120" width="8.83203125" style="12"/>
    <col min="5121" max="5121" width="12.83203125" style="12" bestFit="1" customWidth="1"/>
    <col min="5122" max="5123" width="8.83203125" style="12"/>
    <col min="5124" max="5125" width="12.83203125" style="12" bestFit="1" customWidth="1"/>
    <col min="5126" max="5368" width="8.83203125" style="12"/>
    <col min="5369" max="5369" width="13.4140625" style="12" customWidth="1"/>
    <col min="5370" max="5370" width="0.6640625" style="12" customWidth="1"/>
    <col min="5371" max="5372" width="8.83203125" style="12"/>
    <col min="5373" max="5373" width="28.5" style="12" customWidth="1"/>
    <col min="5374" max="5374" width="15.33203125" style="12" customWidth="1"/>
    <col min="5375" max="5375" width="12.83203125" style="12" bestFit="1" customWidth="1"/>
    <col min="5376" max="5376" width="8.83203125" style="12"/>
    <col min="5377" max="5377" width="12.83203125" style="12" bestFit="1" customWidth="1"/>
    <col min="5378" max="5379" width="8.83203125" style="12"/>
    <col min="5380" max="5381" width="12.83203125" style="12" bestFit="1" customWidth="1"/>
    <col min="5382" max="5624" width="8.83203125" style="12"/>
    <col min="5625" max="5625" width="13.4140625" style="12" customWidth="1"/>
    <col min="5626" max="5626" width="0.6640625" style="12" customWidth="1"/>
    <col min="5627" max="5628" width="8.83203125" style="12"/>
    <col min="5629" max="5629" width="28.5" style="12" customWidth="1"/>
    <col min="5630" max="5630" width="15.33203125" style="12" customWidth="1"/>
    <col min="5631" max="5631" width="12.83203125" style="12" bestFit="1" customWidth="1"/>
    <col min="5632" max="5632" width="8.83203125" style="12"/>
    <col min="5633" max="5633" width="12.83203125" style="12" bestFit="1" customWidth="1"/>
    <col min="5634" max="5635" width="8.83203125" style="12"/>
    <col min="5636" max="5637" width="12.83203125" style="12" bestFit="1" customWidth="1"/>
    <col min="5638" max="5880" width="8.83203125" style="12"/>
    <col min="5881" max="5881" width="13.4140625" style="12" customWidth="1"/>
    <col min="5882" max="5882" width="0.6640625" style="12" customWidth="1"/>
    <col min="5883" max="5884" width="8.83203125" style="12"/>
    <col min="5885" max="5885" width="28.5" style="12" customWidth="1"/>
    <col min="5886" max="5886" width="15.33203125" style="12" customWidth="1"/>
    <col min="5887" max="5887" width="12.83203125" style="12" bestFit="1" customWidth="1"/>
    <col min="5888" max="5888" width="8.83203125" style="12"/>
    <col min="5889" max="5889" width="12.83203125" style="12" bestFit="1" customWidth="1"/>
    <col min="5890" max="5891" width="8.83203125" style="12"/>
    <col min="5892" max="5893" width="12.83203125" style="12" bestFit="1" customWidth="1"/>
    <col min="5894" max="6136" width="8.83203125" style="12"/>
    <col min="6137" max="6137" width="13.4140625" style="12" customWidth="1"/>
    <col min="6138" max="6138" width="0.6640625" style="12" customWidth="1"/>
    <col min="6139" max="6140" width="8.83203125" style="12"/>
    <col min="6141" max="6141" width="28.5" style="12" customWidth="1"/>
    <col min="6142" max="6142" width="15.33203125" style="12" customWidth="1"/>
    <col min="6143" max="6143" width="12.83203125" style="12" bestFit="1" customWidth="1"/>
    <col min="6144" max="6144" width="8.83203125" style="12"/>
    <col min="6145" max="6145" width="12.83203125" style="12" bestFit="1" customWidth="1"/>
    <col min="6146" max="6147" width="8.83203125" style="12"/>
    <col min="6148" max="6149" width="12.83203125" style="12" bestFit="1" customWidth="1"/>
    <col min="6150" max="6392" width="8.83203125" style="12"/>
    <col min="6393" max="6393" width="13.4140625" style="12" customWidth="1"/>
    <col min="6394" max="6394" width="0.6640625" style="12" customWidth="1"/>
    <col min="6395" max="6396" width="8.83203125" style="12"/>
    <col min="6397" max="6397" width="28.5" style="12" customWidth="1"/>
    <col min="6398" max="6398" width="15.33203125" style="12" customWidth="1"/>
    <col min="6399" max="6399" width="12.83203125" style="12" bestFit="1" customWidth="1"/>
    <col min="6400" max="6400" width="8.83203125" style="12"/>
    <col min="6401" max="6401" width="12.83203125" style="12" bestFit="1" customWidth="1"/>
    <col min="6402" max="6403" width="8.83203125" style="12"/>
    <col min="6404" max="6405" width="12.83203125" style="12" bestFit="1" customWidth="1"/>
    <col min="6406" max="6648" width="8.83203125" style="12"/>
    <col min="6649" max="6649" width="13.4140625" style="12" customWidth="1"/>
    <col min="6650" max="6650" width="0.6640625" style="12" customWidth="1"/>
    <col min="6651" max="6652" width="8.83203125" style="12"/>
    <col min="6653" max="6653" width="28.5" style="12" customWidth="1"/>
    <col min="6654" max="6654" width="15.33203125" style="12" customWidth="1"/>
    <col min="6655" max="6655" width="12.83203125" style="12" bestFit="1" customWidth="1"/>
    <col min="6656" max="6656" width="8.83203125" style="12"/>
    <col min="6657" max="6657" width="12.83203125" style="12" bestFit="1" customWidth="1"/>
    <col min="6658" max="6659" width="8.83203125" style="12"/>
    <col min="6660" max="6661" width="12.83203125" style="12" bestFit="1" customWidth="1"/>
    <col min="6662" max="6904" width="8.83203125" style="12"/>
    <col min="6905" max="6905" width="13.4140625" style="12" customWidth="1"/>
    <col min="6906" max="6906" width="0.6640625" style="12" customWidth="1"/>
    <col min="6907" max="6908" width="8.83203125" style="12"/>
    <col min="6909" max="6909" width="28.5" style="12" customWidth="1"/>
    <col min="6910" max="6910" width="15.33203125" style="12" customWidth="1"/>
    <col min="6911" max="6911" width="12.83203125" style="12" bestFit="1" customWidth="1"/>
    <col min="6912" max="6912" width="8.83203125" style="12"/>
    <col min="6913" max="6913" width="12.83203125" style="12" bestFit="1" customWidth="1"/>
    <col min="6914" max="6915" width="8.83203125" style="12"/>
    <col min="6916" max="6917" width="12.83203125" style="12" bestFit="1" customWidth="1"/>
    <col min="6918" max="7160" width="8.83203125" style="12"/>
    <col min="7161" max="7161" width="13.4140625" style="12" customWidth="1"/>
    <col min="7162" max="7162" width="0.6640625" style="12" customWidth="1"/>
    <col min="7163" max="7164" width="8.83203125" style="12"/>
    <col min="7165" max="7165" width="28.5" style="12" customWidth="1"/>
    <col min="7166" max="7166" width="15.33203125" style="12" customWidth="1"/>
    <col min="7167" max="7167" width="12.83203125" style="12" bestFit="1" customWidth="1"/>
    <col min="7168" max="7168" width="8.83203125" style="12"/>
    <col min="7169" max="7169" width="12.83203125" style="12" bestFit="1" customWidth="1"/>
    <col min="7170" max="7171" width="8.83203125" style="12"/>
    <col min="7172" max="7173" width="12.83203125" style="12" bestFit="1" customWidth="1"/>
    <col min="7174" max="7416" width="8.83203125" style="12"/>
    <col min="7417" max="7417" width="13.4140625" style="12" customWidth="1"/>
    <col min="7418" max="7418" width="0.6640625" style="12" customWidth="1"/>
    <col min="7419" max="7420" width="8.83203125" style="12"/>
    <col min="7421" max="7421" width="28.5" style="12" customWidth="1"/>
    <col min="7422" max="7422" width="15.33203125" style="12" customWidth="1"/>
    <col min="7423" max="7423" width="12.83203125" style="12" bestFit="1" customWidth="1"/>
    <col min="7424" max="7424" width="8.83203125" style="12"/>
    <col min="7425" max="7425" width="12.83203125" style="12" bestFit="1" customWidth="1"/>
    <col min="7426" max="7427" width="8.83203125" style="12"/>
    <col min="7428" max="7429" width="12.83203125" style="12" bestFit="1" customWidth="1"/>
    <col min="7430" max="7672" width="8.83203125" style="12"/>
    <col min="7673" max="7673" width="13.4140625" style="12" customWidth="1"/>
    <col min="7674" max="7674" width="0.6640625" style="12" customWidth="1"/>
    <col min="7675" max="7676" width="8.83203125" style="12"/>
    <col min="7677" max="7677" width="28.5" style="12" customWidth="1"/>
    <col min="7678" max="7678" width="15.33203125" style="12" customWidth="1"/>
    <col min="7679" max="7679" width="12.83203125" style="12" bestFit="1" customWidth="1"/>
    <col min="7680" max="7680" width="8.83203125" style="12"/>
    <col min="7681" max="7681" width="12.83203125" style="12" bestFit="1" customWidth="1"/>
    <col min="7682" max="7683" width="8.83203125" style="12"/>
    <col min="7684" max="7685" width="12.83203125" style="12" bestFit="1" customWidth="1"/>
    <col min="7686" max="7928" width="8.83203125" style="12"/>
    <col min="7929" max="7929" width="13.4140625" style="12" customWidth="1"/>
    <col min="7930" max="7930" width="0.6640625" style="12" customWidth="1"/>
    <col min="7931" max="7932" width="8.83203125" style="12"/>
    <col min="7933" max="7933" width="28.5" style="12" customWidth="1"/>
    <col min="7934" max="7934" width="15.33203125" style="12" customWidth="1"/>
    <col min="7935" max="7935" width="12.83203125" style="12" bestFit="1" customWidth="1"/>
    <col min="7936" max="7936" width="8.83203125" style="12"/>
    <col min="7937" max="7937" width="12.83203125" style="12" bestFit="1" customWidth="1"/>
    <col min="7938" max="7939" width="8.83203125" style="12"/>
    <col min="7940" max="7941" width="12.83203125" style="12" bestFit="1" customWidth="1"/>
    <col min="7942" max="8184" width="8.83203125" style="12"/>
    <col min="8185" max="8185" width="13.4140625" style="12" customWidth="1"/>
    <col min="8186" max="8186" width="0.6640625" style="12" customWidth="1"/>
    <col min="8187" max="8188" width="8.83203125" style="12"/>
    <col min="8189" max="8189" width="28.5" style="12" customWidth="1"/>
    <col min="8190" max="8190" width="15.33203125" style="12" customWidth="1"/>
    <col min="8191" max="8191" width="12.83203125" style="12" bestFit="1" customWidth="1"/>
    <col min="8192" max="8192" width="8.83203125" style="12"/>
    <col min="8193" max="8193" width="12.83203125" style="12" bestFit="1" customWidth="1"/>
    <col min="8194" max="8195" width="8.83203125" style="12"/>
    <col min="8196" max="8197" width="12.83203125" style="12" bestFit="1" customWidth="1"/>
    <col min="8198" max="8440" width="8.83203125" style="12"/>
    <col min="8441" max="8441" width="13.4140625" style="12" customWidth="1"/>
    <col min="8442" max="8442" width="0.6640625" style="12" customWidth="1"/>
    <col min="8443" max="8444" width="8.83203125" style="12"/>
    <col min="8445" max="8445" width="28.5" style="12" customWidth="1"/>
    <col min="8446" max="8446" width="15.33203125" style="12" customWidth="1"/>
    <col min="8447" max="8447" width="12.83203125" style="12" bestFit="1" customWidth="1"/>
    <col min="8448" max="8448" width="8.83203125" style="12"/>
    <col min="8449" max="8449" width="12.83203125" style="12" bestFit="1" customWidth="1"/>
    <col min="8450" max="8451" width="8.83203125" style="12"/>
    <col min="8452" max="8453" width="12.83203125" style="12" bestFit="1" customWidth="1"/>
    <col min="8454" max="8696" width="8.83203125" style="12"/>
    <col min="8697" max="8697" width="13.4140625" style="12" customWidth="1"/>
    <col min="8698" max="8698" width="0.6640625" style="12" customWidth="1"/>
    <col min="8699" max="8700" width="8.83203125" style="12"/>
    <col min="8701" max="8701" width="28.5" style="12" customWidth="1"/>
    <col min="8702" max="8702" width="15.33203125" style="12" customWidth="1"/>
    <col min="8703" max="8703" width="12.83203125" style="12" bestFit="1" customWidth="1"/>
    <col min="8704" max="8704" width="8.83203125" style="12"/>
    <col min="8705" max="8705" width="12.83203125" style="12" bestFit="1" customWidth="1"/>
    <col min="8706" max="8707" width="8.83203125" style="12"/>
    <col min="8708" max="8709" width="12.83203125" style="12" bestFit="1" customWidth="1"/>
    <col min="8710" max="8952" width="8.83203125" style="12"/>
    <col min="8953" max="8953" width="13.4140625" style="12" customWidth="1"/>
    <col min="8954" max="8954" width="0.6640625" style="12" customWidth="1"/>
    <col min="8955" max="8956" width="8.83203125" style="12"/>
    <col min="8957" max="8957" width="28.5" style="12" customWidth="1"/>
    <col min="8958" max="8958" width="15.33203125" style="12" customWidth="1"/>
    <col min="8959" max="8959" width="12.83203125" style="12" bestFit="1" customWidth="1"/>
    <col min="8960" max="8960" width="8.83203125" style="12"/>
    <col min="8961" max="8961" width="12.83203125" style="12" bestFit="1" customWidth="1"/>
    <col min="8962" max="8963" width="8.83203125" style="12"/>
    <col min="8964" max="8965" width="12.83203125" style="12" bestFit="1" customWidth="1"/>
    <col min="8966" max="9208" width="8.83203125" style="12"/>
    <col min="9209" max="9209" width="13.4140625" style="12" customWidth="1"/>
    <col min="9210" max="9210" width="0.6640625" style="12" customWidth="1"/>
    <col min="9211" max="9212" width="8.83203125" style="12"/>
    <col min="9213" max="9213" width="28.5" style="12" customWidth="1"/>
    <col min="9214" max="9214" width="15.33203125" style="12" customWidth="1"/>
    <col min="9215" max="9215" width="12.83203125" style="12" bestFit="1" customWidth="1"/>
    <col min="9216" max="9216" width="8.83203125" style="12"/>
    <col min="9217" max="9217" width="12.83203125" style="12" bestFit="1" customWidth="1"/>
    <col min="9218" max="9219" width="8.83203125" style="12"/>
    <col min="9220" max="9221" width="12.83203125" style="12" bestFit="1" customWidth="1"/>
    <col min="9222" max="9464" width="8.83203125" style="12"/>
    <col min="9465" max="9465" width="13.4140625" style="12" customWidth="1"/>
    <col min="9466" max="9466" width="0.6640625" style="12" customWidth="1"/>
    <col min="9467" max="9468" width="8.83203125" style="12"/>
    <col min="9469" max="9469" width="28.5" style="12" customWidth="1"/>
    <col min="9470" max="9470" width="15.33203125" style="12" customWidth="1"/>
    <col min="9471" max="9471" width="12.83203125" style="12" bestFit="1" customWidth="1"/>
    <col min="9472" max="9472" width="8.83203125" style="12"/>
    <col min="9473" max="9473" width="12.83203125" style="12" bestFit="1" customWidth="1"/>
    <col min="9474" max="9475" width="8.83203125" style="12"/>
    <col min="9476" max="9477" width="12.83203125" style="12" bestFit="1" customWidth="1"/>
    <col min="9478" max="9720" width="8.83203125" style="12"/>
    <col min="9721" max="9721" width="13.4140625" style="12" customWidth="1"/>
    <col min="9722" max="9722" width="0.6640625" style="12" customWidth="1"/>
    <col min="9723" max="9724" width="8.83203125" style="12"/>
    <col min="9725" max="9725" width="28.5" style="12" customWidth="1"/>
    <col min="9726" max="9726" width="15.33203125" style="12" customWidth="1"/>
    <col min="9727" max="9727" width="12.83203125" style="12" bestFit="1" customWidth="1"/>
    <col min="9728" max="9728" width="8.83203125" style="12"/>
    <col min="9729" max="9729" width="12.83203125" style="12" bestFit="1" customWidth="1"/>
    <col min="9730" max="9731" width="8.83203125" style="12"/>
    <col min="9732" max="9733" width="12.83203125" style="12" bestFit="1" customWidth="1"/>
    <col min="9734" max="9976" width="8.83203125" style="12"/>
    <col min="9977" max="9977" width="13.4140625" style="12" customWidth="1"/>
    <col min="9978" max="9978" width="0.6640625" style="12" customWidth="1"/>
    <col min="9979" max="9980" width="8.83203125" style="12"/>
    <col min="9981" max="9981" width="28.5" style="12" customWidth="1"/>
    <col min="9982" max="9982" width="15.33203125" style="12" customWidth="1"/>
    <col min="9983" max="9983" width="12.83203125" style="12" bestFit="1" customWidth="1"/>
    <col min="9984" max="9984" width="8.83203125" style="12"/>
    <col min="9985" max="9985" width="12.83203125" style="12" bestFit="1" customWidth="1"/>
    <col min="9986" max="9987" width="8.83203125" style="12"/>
    <col min="9988" max="9989" width="12.83203125" style="12" bestFit="1" customWidth="1"/>
    <col min="9990" max="10232" width="8.83203125" style="12"/>
    <col min="10233" max="10233" width="13.4140625" style="12" customWidth="1"/>
    <col min="10234" max="10234" width="0.6640625" style="12" customWidth="1"/>
    <col min="10235" max="10236" width="8.83203125" style="12"/>
    <col min="10237" max="10237" width="28.5" style="12" customWidth="1"/>
    <col min="10238" max="10238" width="15.33203125" style="12" customWidth="1"/>
    <col min="10239" max="10239" width="12.83203125" style="12" bestFit="1" customWidth="1"/>
    <col min="10240" max="10240" width="8.83203125" style="12"/>
    <col min="10241" max="10241" width="12.83203125" style="12" bestFit="1" customWidth="1"/>
    <col min="10242" max="10243" width="8.83203125" style="12"/>
    <col min="10244" max="10245" width="12.83203125" style="12" bestFit="1" customWidth="1"/>
    <col min="10246" max="10488" width="8.83203125" style="12"/>
    <col min="10489" max="10489" width="13.4140625" style="12" customWidth="1"/>
    <col min="10490" max="10490" width="0.6640625" style="12" customWidth="1"/>
    <col min="10491" max="10492" width="8.83203125" style="12"/>
    <col min="10493" max="10493" width="28.5" style="12" customWidth="1"/>
    <col min="10494" max="10494" width="15.33203125" style="12" customWidth="1"/>
    <col min="10495" max="10495" width="12.83203125" style="12" bestFit="1" customWidth="1"/>
    <col min="10496" max="10496" width="8.83203125" style="12"/>
    <col min="10497" max="10497" width="12.83203125" style="12" bestFit="1" customWidth="1"/>
    <col min="10498" max="10499" width="8.83203125" style="12"/>
    <col min="10500" max="10501" width="12.83203125" style="12" bestFit="1" customWidth="1"/>
    <col min="10502" max="10744" width="8.83203125" style="12"/>
    <col min="10745" max="10745" width="13.4140625" style="12" customWidth="1"/>
    <col min="10746" max="10746" width="0.6640625" style="12" customWidth="1"/>
    <col min="10747" max="10748" width="8.83203125" style="12"/>
    <col min="10749" max="10749" width="28.5" style="12" customWidth="1"/>
    <col min="10750" max="10750" width="15.33203125" style="12" customWidth="1"/>
    <col min="10751" max="10751" width="12.83203125" style="12" bestFit="1" customWidth="1"/>
    <col min="10752" max="10752" width="8.83203125" style="12"/>
    <col min="10753" max="10753" width="12.83203125" style="12" bestFit="1" customWidth="1"/>
    <col min="10754" max="10755" width="8.83203125" style="12"/>
    <col min="10756" max="10757" width="12.83203125" style="12" bestFit="1" customWidth="1"/>
    <col min="10758" max="11000" width="8.83203125" style="12"/>
    <col min="11001" max="11001" width="13.4140625" style="12" customWidth="1"/>
    <col min="11002" max="11002" width="0.6640625" style="12" customWidth="1"/>
    <col min="11003" max="11004" width="8.83203125" style="12"/>
    <col min="11005" max="11005" width="28.5" style="12" customWidth="1"/>
    <col min="11006" max="11006" width="15.33203125" style="12" customWidth="1"/>
    <col min="11007" max="11007" width="12.83203125" style="12" bestFit="1" customWidth="1"/>
    <col min="11008" max="11008" width="8.83203125" style="12"/>
    <col min="11009" max="11009" width="12.83203125" style="12" bestFit="1" customWidth="1"/>
    <col min="11010" max="11011" width="8.83203125" style="12"/>
    <col min="11012" max="11013" width="12.83203125" style="12" bestFit="1" customWidth="1"/>
    <col min="11014" max="11256" width="8.83203125" style="12"/>
    <col min="11257" max="11257" width="13.4140625" style="12" customWidth="1"/>
    <col min="11258" max="11258" width="0.6640625" style="12" customWidth="1"/>
    <col min="11259" max="11260" width="8.83203125" style="12"/>
    <col min="11261" max="11261" width="28.5" style="12" customWidth="1"/>
    <col min="11262" max="11262" width="15.33203125" style="12" customWidth="1"/>
    <col min="11263" max="11263" width="12.83203125" style="12" bestFit="1" customWidth="1"/>
    <col min="11264" max="11264" width="8.83203125" style="12"/>
    <col min="11265" max="11265" width="12.83203125" style="12" bestFit="1" customWidth="1"/>
    <col min="11266" max="11267" width="8.83203125" style="12"/>
    <col min="11268" max="11269" width="12.83203125" style="12" bestFit="1" customWidth="1"/>
    <col min="11270" max="11512" width="8.83203125" style="12"/>
    <col min="11513" max="11513" width="13.4140625" style="12" customWidth="1"/>
    <col min="11514" max="11514" width="0.6640625" style="12" customWidth="1"/>
    <col min="11515" max="11516" width="8.83203125" style="12"/>
    <col min="11517" max="11517" width="28.5" style="12" customWidth="1"/>
    <col min="11518" max="11518" width="15.33203125" style="12" customWidth="1"/>
    <col min="11519" max="11519" width="12.83203125" style="12" bestFit="1" customWidth="1"/>
    <col min="11520" max="11520" width="8.83203125" style="12"/>
    <col min="11521" max="11521" width="12.83203125" style="12" bestFit="1" customWidth="1"/>
    <col min="11522" max="11523" width="8.83203125" style="12"/>
    <col min="11524" max="11525" width="12.83203125" style="12" bestFit="1" customWidth="1"/>
    <col min="11526" max="11768" width="8.83203125" style="12"/>
    <col min="11769" max="11769" width="13.4140625" style="12" customWidth="1"/>
    <col min="11770" max="11770" width="0.6640625" style="12" customWidth="1"/>
    <col min="11771" max="11772" width="8.83203125" style="12"/>
    <col min="11773" max="11773" width="28.5" style="12" customWidth="1"/>
    <col min="11774" max="11774" width="15.33203125" style="12" customWidth="1"/>
    <col min="11775" max="11775" width="12.83203125" style="12" bestFit="1" customWidth="1"/>
    <col min="11776" max="11776" width="8.83203125" style="12"/>
    <col min="11777" max="11777" width="12.83203125" style="12" bestFit="1" customWidth="1"/>
    <col min="11778" max="11779" width="8.83203125" style="12"/>
    <col min="11780" max="11781" width="12.83203125" style="12" bestFit="1" customWidth="1"/>
    <col min="11782" max="12024" width="8.83203125" style="12"/>
    <col min="12025" max="12025" width="13.4140625" style="12" customWidth="1"/>
    <col min="12026" max="12026" width="0.6640625" style="12" customWidth="1"/>
    <col min="12027" max="12028" width="8.83203125" style="12"/>
    <col min="12029" max="12029" width="28.5" style="12" customWidth="1"/>
    <col min="12030" max="12030" width="15.33203125" style="12" customWidth="1"/>
    <col min="12031" max="12031" width="12.83203125" style="12" bestFit="1" customWidth="1"/>
    <col min="12032" max="12032" width="8.83203125" style="12"/>
    <col min="12033" max="12033" width="12.83203125" style="12" bestFit="1" customWidth="1"/>
    <col min="12034" max="12035" width="8.83203125" style="12"/>
    <col min="12036" max="12037" width="12.83203125" style="12" bestFit="1" customWidth="1"/>
    <col min="12038" max="12280" width="8.83203125" style="12"/>
    <col min="12281" max="12281" width="13.4140625" style="12" customWidth="1"/>
    <col min="12282" max="12282" width="0.6640625" style="12" customWidth="1"/>
    <col min="12283" max="12284" width="8.83203125" style="12"/>
    <col min="12285" max="12285" width="28.5" style="12" customWidth="1"/>
    <col min="12286" max="12286" width="15.33203125" style="12" customWidth="1"/>
    <col min="12287" max="12287" width="12.83203125" style="12" bestFit="1" customWidth="1"/>
    <col min="12288" max="12288" width="8.83203125" style="12"/>
    <col min="12289" max="12289" width="12.83203125" style="12" bestFit="1" customWidth="1"/>
    <col min="12290" max="12291" width="8.83203125" style="12"/>
    <col min="12292" max="12293" width="12.83203125" style="12" bestFit="1" customWidth="1"/>
    <col min="12294" max="12536" width="8.83203125" style="12"/>
    <col min="12537" max="12537" width="13.4140625" style="12" customWidth="1"/>
    <col min="12538" max="12538" width="0.6640625" style="12" customWidth="1"/>
    <col min="12539" max="12540" width="8.83203125" style="12"/>
    <col min="12541" max="12541" width="28.5" style="12" customWidth="1"/>
    <col min="12542" max="12542" width="15.33203125" style="12" customWidth="1"/>
    <col min="12543" max="12543" width="12.83203125" style="12" bestFit="1" customWidth="1"/>
    <col min="12544" max="12544" width="8.83203125" style="12"/>
    <col min="12545" max="12545" width="12.83203125" style="12" bestFit="1" customWidth="1"/>
    <col min="12546" max="12547" width="8.83203125" style="12"/>
    <col min="12548" max="12549" width="12.83203125" style="12" bestFit="1" customWidth="1"/>
    <col min="12550" max="12792" width="8.83203125" style="12"/>
    <col min="12793" max="12793" width="13.4140625" style="12" customWidth="1"/>
    <col min="12794" max="12794" width="0.6640625" style="12" customWidth="1"/>
    <col min="12795" max="12796" width="8.83203125" style="12"/>
    <col min="12797" max="12797" width="28.5" style="12" customWidth="1"/>
    <col min="12798" max="12798" width="15.33203125" style="12" customWidth="1"/>
    <col min="12799" max="12799" width="12.83203125" style="12" bestFit="1" customWidth="1"/>
    <col min="12800" max="12800" width="8.83203125" style="12"/>
    <col min="12801" max="12801" width="12.83203125" style="12" bestFit="1" customWidth="1"/>
    <col min="12802" max="12803" width="8.83203125" style="12"/>
    <col min="12804" max="12805" width="12.83203125" style="12" bestFit="1" customWidth="1"/>
    <col min="12806" max="13048" width="8.83203125" style="12"/>
    <col min="13049" max="13049" width="13.4140625" style="12" customWidth="1"/>
    <col min="13050" max="13050" width="0.6640625" style="12" customWidth="1"/>
    <col min="13051" max="13052" width="8.83203125" style="12"/>
    <col min="13053" max="13053" width="28.5" style="12" customWidth="1"/>
    <col min="13054" max="13054" width="15.33203125" style="12" customWidth="1"/>
    <col min="13055" max="13055" width="12.83203125" style="12" bestFit="1" customWidth="1"/>
    <col min="13056" max="13056" width="8.83203125" style="12"/>
    <col min="13057" max="13057" width="12.83203125" style="12" bestFit="1" customWidth="1"/>
    <col min="13058" max="13059" width="8.83203125" style="12"/>
    <col min="13060" max="13061" width="12.83203125" style="12" bestFit="1" customWidth="1"/>
    <col min="13062" max="13304" width="8.83203125" style="12"/>
    <col min="13305" max="13305" width="13.4140625" style="12" customWidth="1"/>
    <col min="13306" max="13306" width="0.6640625" style="12" customWidth="1"/>
    <col min="13307" max="13308" width="8.83203125" style="12"/>
    <col min="13309" max="13309" width="28.5" style="12" customWidth="1"/>
    <col min="13310" max="13310" width="15.33203125" style="12" customWidth="1"/>
    <col min="13311" max="13311" width="12.83203125" style="12" bestFit="1" customWidth="1"/>
    <col min="13312" max="13312" width="8.83203125" style="12"/>
    <col min="13313" max="13313" width="12.83203125" style="12" bestFit="1" customWidth="1"/>
    <col min="13314" max="13315" width="8.83203125" style="12"/>
    <col min="13316" max="13317" width="12.83203125" style="12" bestFit="1" customWidth="1"/>
    <col min="13318" max="13560" width="8.83203125" style="12"/>
    <col min="13561" max="13561" width="13.4140625" style="12" customWidth="1"/>
    <col min="13562" max="13562" width="0.6640625" style="12" customWidth="1"/>
    <col min="13563" max="13564" width="8.83203125" style="12"/>
    <col min="13565" max="13565" width="28.5" style="12" customWidth="1"/>
    <col min="13566" max="13566" width="15.33203125" style="12" customWidth="1"/>
    <col min="13567" max="13567" width="12.83203125" style="12" bestFit="1" customWidth="1"/>
    <col min="13568" max="13568" width="8.83203125" style="12"/>
    <col min="13569" max="13569" width="12.83203125" style="12" bestFit="1" customWidth="1"/>
    <col min="13570" max="13571" width="8.83203125" style="12"/>
    <col min="13572" max="13573" width="12.83203125" style="12" bestFit="1" customWidth="1"/>
    <col min="13574" max="13816" width="8.83203125" style="12"/>
    <col min="13817" max="13817" width="13.4140625" style="12" customWidth="1"/>
    <col min="13818" max="13818" width="0.6640625" style="12" customWidth="1"/>
    <col min="13819" max="13820" width="8.83203125" style="12"/>
    <col min="13821" max="13821" width="28.5" style="12" customWidth="1"/>
    <col min="13822" max="13822" width="15.33203125" style="12" customWidth="1"/>
    <col min="13823" max="13823" width="12.83203125" style="12" bestFit="1" customWidth="1"/>
    <col min="13824" max="13824" width="8.83203125" style="12"/>
    <col min="13825" max="13825" width="12.83203125" style="12" bestFit="1" customWidth="1"/>
    <col min="13826" max="13827" width="8.83203125" style="12"/>
    <col min="13828" max="13829" width="12.83203125" style="12" bestFit="1" customWidth="1"/>
    <col min="13830" max="14072" width="8.83203125" style="12"/>
    <col min="14073" max="14073" width="13.4140625" style="12" customWidth="1"/>
    <col min="14074" max="14074" width="0.6640625" style="12" customWidth="1"/>
    <col min="14075" max="14076" width="8.83203125" style="12"/>
    <col min="14077" max="14077" width="28.5" style="12" customWidth="1"/>
    <col min="14078" max="14078" width="15.33203125" style="12" customWidth="1"/>
    <col min="14079" max="14079" width="12.83203125" style="12" bestFit="1" customWidth="1"/>
    <col min="14080" max="14080" width="8.83203125" style="12"/>
    <col min="14081" max="14081" width="12.83203125" style="12" bestFit="1" customWidth="1"/>
    <col min="14082" max="14083" width="8.83203125" style="12"/>
    <col min="14084" max="14085" width="12.83203125" style="12" bestFit="1" customWidth="1"/>
    <col min="14086" max="14328" width="8.83203125" style="12"/>
    <col min="14329" max="14329" width="13.4140625" style="12" customWidth="1"/>
    <col min="14330" max="14330" width="0.6640625" style="12" customWidth="1"/>
    <col min="14331" max="14332" width="8.83203125" style="12"/>
    <col min="14333" max="14333" width="28.5" style="12" customWidth="1"/>
    <col min="14334" max="14334" width="15.33203125" style="12" customWidth="1"/>
    <col min="14335" max="14335" width="12.83203125" style="12" bestFit="1" customWidth="1"/>
    <col min="14336" max="14336" width="8.83203125" style="12"/>
    <col min="14337" max="14337" width="12.83203125" style="12" bestFit="1" customWidth="1"/>
    <col min="14338" max="14339" width="8.83203125" style="12"/>
    <col min="14340" max="14341" width="12.83203125" style="12" bestFit="1" customWidth="1"/>
    <col min="14342" max="14584" width="8.83203125" style="12"/>
    <col min="14585" max="14585" width="13.4140625" style="12" customWidth="1"/>
    <col min="14586" max="14586" width="0.6640625" style="12" customWidth="1"/>
    <col min="14587" max="14588" width="8.83203125" style="12"/>
    <col min="14589" max="14589" width="28.5" style="12" customWidth="1"/>
    <col min="14590" max="14590" width="15.33203125" style="12" customWidth="1"/>
    <col min="14591" max="14591" width="12.83203125" style="12" bestFit="1" customWidth="1"/>
    <col min="14592" max="14592" width="8.83203125" style="12"/>
    <col min="14593" max="14593" width="12.83203125" style="12" bestFit="1" customWidth="1"/>
    <col min="14594" max="14595" width="8.83203125" style="12"/>
    <col min="14596" max="14597" width="12.83203125" style="12" bestFit="1" customWidth="1"/>
    <col min="14598" max="14840" width="8.83203125" style="12"/>
    <col min="14841" max="14841" width="13.4140625" style="12" customWidth="1"/>
    <col min="14842" max="14842" width="0.6640625" style="12" customWidth="1"/>
    <col min="14843" max="14844" width="8.83203125" style="12"/>
    <col min="14845" max="14845" width="28.5" style="12" customWidth="1"/>
    <col min="14846" max="14846" width="15.33203125" style="12" customWidth="1"/>
    <col min="14847" max="14847" width="12.83203125" style="12" bestFit="1" customWidth="1"/>
    <col min="14848" max="14848" width="8.83203125" style="12"/>
    <col min="14849" max="14849" width="12.83203125" style="12" bestFit="1" customWidth="1"/>
    <col min="14850" max="14851" width="8.83203125" style="12"/>
    <col min="14852" max="14853" width="12.83203125" style="12" bestFit="1" customWidth="1"/>
    <col min="14854" max="15096" width="8.83203125" style="12"/>
    <col min="15097" max="15097" width="13.4140625" style="12" customWidth="1"/>
    <col min="15098" max="15098" width="0.6640625" style="12" customWidth="1"/>
    <col min="15099" max="15100" width="8.83203125" style="12"/>
    <col min="15101" max="15101" width="28.5" style="12" customWidth="1"/>
    <col min="15102" max="15102" width="15.33203125" style="12" customWidth="1"/>
    <col min="15103" max="15103" width="12.83203125" style="12" bestFit="1" customWidth="1"/>
    <col min="15104" max="15104" width="8.83203125" style="12"/>
    <col min="15105" max="15105" width="12.83203125" style="12" bestFit="1" customWidth="1"/>
    <col min="15106" max="15107" width="8.83203125" style="12"/>
    <col min="15108" max="15109" width="12.83203125" style="12" bestFit="1" customWidth="1"/>
    <col min="15110" max="15352" width="8.83203125" style="12"/>
    <col min="15353" max="15353" width="13.4140625" style="12" customWidth="1"/>
    <col min="15354" max="15354" width="0.6640625" style="12" customWidth="1"/>
    <col min="15355" max="15356" width="8.83203125" style="12"/>
    <col min="15357" max="15357" width="28.5" style="12" customWidth="1"/>
    <col min="15358" max="15358" width="15.33203125" style="12" customWidth="1"/>
    <col min="15359" max="15359" width="12.83203125" style="12" bestFit="1" customWidth="1"/>
    <col min="15360" max="15360" width="8.83203125" style="12"/>
    <col min="15361" max="15361" width="12.83203125" style="12" bestFit="1" customWidth="1"/>
    <col min="15362" max="15363" width="8.83203125" style="12"/>
    <col min="15364" max="15365" width="12.83203125" style="12" bestFit="1" customWidth="1"/>
    <col min="15366" max="15608" width="8.83203125" style="12"/>
    <col min="15609" max="15609" width="13.4140625" style="12" customWidth="1"/>
    <col min="15610" max="15610" width="0.6640625" style="12" customWidth="1"/>
    <col min="15611" max="15612" width="8.83203125" style="12"/>
    <col min="15613" max="15613" width="28.5" style="12" customWidth="1"/>
    <col min="15614" max="15614" width="15.33203125" style="12" customWidth="1"/>
    <col min="15615" max="15615" width="12.83203125" style="12" bestFit="1" customWidth="1"/>
    <col min="15616" max="15616" width="8.83203125" style="12"/>
    <col min="15617" max="15617" width="12.83203125" style="12" bestFit="1" customWidth="1"/>
    <col min="15618" max="15619" width="8.83203125" style="12"/>
    <col min="15620" max="15621" width="12.83203125" style="12" bestFit="1" customWidth="1"/>
    <col min="15622" max="15864" width="8.83203125" style="12"/>
    <col min="15865" max="15865" width="13.4140625" style="12" customWidth="1"/>
    <col min="15866" max="15866" width="0.6640625" style="12" customWidth="1"/>
    <col min="15867" max="15868" width="8.83203125" style="12"/>
    <col min="15869" max="15869" width="28.5" style="12" customWidth="1"/>
    <col min="15870" max="15870" width="15.33203125" style="12" customWidth="1"/>
    <col min="15871" max="15871" width="12.83203125" style="12" bestFit="1" customWidth="1"/>
    <col min="15872" max="15872" width="8.83203125" style="12"/>
    <col min="15873" max="15873" width="12.83203125" style="12" bestFit="1" customWidth="1"/>
    <col min="15874" max="15875" width="8.83203125" style="12"/>
    <col min="15876" max="15877" width="12.83203125" style="12" bestFit="1" customWidth="1"/>
    <col min="15878" max="16120" width="8.83203125" style="12"/>
    <col min="16121" max="16121" width="13.4140625" style="12" customWidth="1"/>
    <col min="16122" max="16122" width="0.6640625" style="12" customWidth="1"/>
    <col min="16123" max="16124" width="8.83203125" style="12"/>
    <col min="16125" max="16125" width="28.5" style="12" customWidth="1"/>
    <col min="16126" max="16126" width="15.33203125" style="12" customWidth="1"/>
    <col min="16127" max="16127" width="12.83203125" style="12" bestFit="1" customWidth="1"/>
    <col min="16128" max="16128" width="8.83203125" style="12"/>
    <col min="16129" max="16129" width="12.83203125" style="12" bestFit="1" customWidth="1"/>
    <col min="16130" max="16131" width="8.83203125" style="12"/>
    <col min="16132" max="16133" width="12.83203125" style="12" bestFit="1" customWidth="1"/>
    <col min="16134" max="16384" width="8.83203125" style="12"/>
  </cols>
  <sheetData>
    <row r="1" spans="1:5" s="3" customFormat="1" ht="33" customHeight="1" x14ac:dyDescent="0.3">
      <c r="A1" s="3" t="s">
        <v>8</v>
      </c>
      <c r="B1" s="1" t="s">
        <v>9</v>
      </c>
      <c r="C1" s="1" t="s">
        <v>12</v>
      </c>
      <c r="D1" s="1" t="s">
        <v>13</v>
      </c>
      <c r="E1" s="1" t="s">
        <v>24</v>
      </c>
    </row>
    <row r="2" spans="1:5" s="4" customFormat="1" x14ac:dyDescent="0.3">
      <c r="A2" s="4">
        <v>2004</v>
      </c>
      <c r="B2" s="4" t="s">
        <v>14</v>
      </c>
      <c r="C2" s="4">
        <v>1377924.0531876546</v>
      </c>
      <c r="D2" s="4">
        <v>7</v>
      </c>
      <c r="E2" s="5">
        <v>0.50801058184639258</v>
      </c>
    </row>
    <row r="3" spans="1:5" s="3" customFormat="1" x14ac:dyDescent="0.3">
      <c r="A3" s="3">
        <v>2004</v>
      </c>
      <c r="B3" s="1" t="s">
        <v>16</v>
      </c>
      <c r="C3" s="1">
        <v>409391.99088668037</v>
      </c>
      <c r="D3" s="1">
        <v>0</v>
      </c>
      <c r="E3" s="1">
        <v>0</v>
      </c>
    </row>
    <row r="4" spans="1:5" s="3" customFormat="1" x14ac:dyDescent="0.3">
      <c r="A4" s="4">
        <v>2004</v>
      </c>
      <c r="B4" s="1" t="s">
        <v>19</v>
      </c>
      <c r="C4" s="1">
        <v>172221.00043055249</v>
      </c>
      <c r="D4" s="1">
        <v>0</v>
      </c>
      <c r="E4" s="1">
        <v>0</v>
      </c>
    </row>
    <row r="5" spans="1:5" s="3" customFormat="1" x14ac:dyDescent="0.3">
      <c r="A5" s="3">
        <v>2004</v>
      </c>
      <c r="B5" s="1" t="s">
        <v>18</v>
      </c>
      <c r="C5" s="1">
        <v>210895.00661060557</v>
      </c>
      <c r="D5" s="1">
        <v>0</v>
      </c>
      <c r="E5" s="1">
        <v>0</v>
      </c>
    </row>
    <row r="6" spans="1:5" s="3" customFormat="1" x14ac:dyDescent="0.3">
      <c r="A6" s="4">
        <v>2004</v>
      </c>
      <c r="B6" s="1" t="s">
        <v>20</v>
      </c>
      <c r="C6" s="1">
        <v>204029.00892760494</v>
      </c>
      <c r="D6" s="1">
        <v>0</v>
      </c>
      <c r="E6" s="1">
        <v>0</v>
      </c>
    </row>
    <row r="7" spans="1:5" s="3" customFormat="1" x14ac:dyDescent="0.3">
      <c r="A7" s="3">
        <v>2004</v>
      </c>
      <c r="B7" s="1" t="s">
        <v>21</v>
      </c>
      <c r="C7" s="1">
        <v>178355.989285216</v>
      </c>
      <c r="D7" s="1">
        <v>6</v>
      </c>
      <c r="E7" s="1">
        <v>3.3640586021505379</v>
      </c>
    </row>
    <row r="8" spans="1:5" s="3" customFormat="1" x14ac:dyDescent="0.3">
      <c r="A8" s="4">
        <v>2004</v>
      </c>
      <c r="B8" s="1" t="s">
        <v>22</v>
      </c>
      <c r="C8" s="1">
        <v>233055.00855132606</v>
      </c>
      <c r="D8" s="1">
        <v>1</v>
      </c>
      <c r="E8" s="1">
        <v>0.42908324786324792</v>
      </c>
    </row>
    <row r="9" spans="1:5" s="4" customFormat="1" x14ac:dyDescent="0.3">
      <c r="A9" s="4">
        <v>2005</v>
      </c>
      <c r="B9" s="4" t="s">
        <v>14</v>
      </c>
      <c r="C9" s="4">
        <v>1518224.0214518444</v>
      </c>
      <c r="D9" s="4">
        <v>23</v>
      </c>
      <c r="E9" s="5">
        <v>1.5149279470631483</v>
      </c>
    </row>
    <row r="10" spans="1:5" s="3" customFormat="1" x14ac:dyDescent="0.3">
      <c r="A10" s="3">
        <v>2005</v>
      </c>
      <c r="B10" s="1" t="s">
        <v>16</v>
      </c>
      <c r="C10" s="1">
        <v>409392.00644282525</v>
      </c>
      <c r="D10" s="1">
        <v>0</v>
      </c>
      <c r="E10" s="1">
        <v>0</v>
      </c>
    </row>
    <row r="11" spans="1:5" s="3" customFormat="1" x14ac:dyDescent="0.3">
      <c r="A11" s="4">
        <v>2005</v>
      </c>
      <c r="B11" s="1" t="s">
        <v>18</v>
      </c>
      <c r="C11" s="1">
        <v>210895.00095200745</v>
      </c>
      <c r="D11" s="1">
        <v>1</v>
      </c>
      <c r="E11" s="1">
        <v>0.47416960832920174</v>
      </c>
    </row>
    <row r="12" spans="1:5" s="3" customFormat="1" x14ac:dyDescent="0.3">
      <c r="A12" s="3">
        <v>2005</v>
      </c>
      <c r="B12" s="1" t="s">
        <v>19</v>
      </c>
      <c r="C12" s="1">
        <v>137931.9957248322</v>
      </c>
      <c r="D12" s="1">
        <v>0</v>
      </c>
      <c r="E12" s="1">
        <v>0</v>
      </c>
    </row>
    <row r="13" spans="1:5" s="3" customFormat="1" x14ac:dyDescent="0.3">
      <c r="A13" s="4">
        <v>2005</v>
      </c>
      <c r="B13" s="1" t="s">
        <v>20</v>
      </c>
      <c r="C13" s="1">
        <v>205496.9790206266</v>
      </c>
      <c r="D13" s="1">
        <v>1</v>
      </c>
      <c r="E13" s="1">
        <v>0.48662515856236782</v>
      </c>
    </row>
    <row r="14" spans="1:5" s="3" customFormat="1" x14ac:dyDescent="0.3">
      <c r="A14" s="3">
        <v>2005</v>
      </c>
      <c r="B14" s="1" t="s">
        <v>21</v>
      </c>
      <c r="C14" s="1">
        <v>190539.00864749606</v>
      </c>
      <c r="D14" s="1">
        <v>21</v>
      </c>
      <c r="E14" s="1">
        <v>11.021365204460965</v>
      </c>
    </row>
    <row r="15" spans="1:5" s="3" customFormat="1" x14ac:dyDescent="0.3">
      <c r="A15" s="4">
        <v>2005</v>
      </c>
      <c r="B15" s="1" t="s">
        <v>22</v>
      </c>
      <c r="C15" s="1">
        <v>270590.00262891053</v>
      </c>
      <c r="D15" s="1">
        <v>0</v>
      </c>
      <c r="E15" s="1">
        <v>0</v>
      </c>
    </row>
    <row r="16" spans="1:5" s="4" customFormat="1" x14ac:dyDescent="0.3">
      <c r="A16" s="4">
        <v>2006</v>
      </c>
      <c r="B16" s="4" t="s">
        <v>14</v>
      </c>
      <c r="C16" s="4">
        <v>1530749.9311354791</v>
      </c>
      <c r="D16" s="4">
        <v>2</v>
      </c>
      <c r="E16" s="5">
        <v>0.13065491360280124</v>
      </c>
    </row>
    <row r="17" spans="1:5" s="3" customFormat="1" x14ac:dyDescent="0.3">
      <c r="A17" s="4">
        <v>2006</v>
      </c>
      <c r="B17" s="1" t="s">
        <v>16</v>
      </c>
      <c r="C17" s="1">
        <v>430812.01666943921</v>
      </c>
      <c r="D17" s="1">
        <v>1</v>
      </c>
      <c r="E17" s="1">
        <v>0.23211980198019802</v>
      </c>
    </row>
    <row r="18" spans="1:5" s="3" customFormat="1" x14ac:dyDescent="0.3">
      <c r="A18" s="4">
        <v>2006</v>
      </c>
      <c r="B18" s="1" t="s">
        <v>18</v>
      </c>
      <c r="C18" s="1">
        <v>220699.00952511525</v>
      </c>
      <c r="D18" s="1">
        <v>1</v>
      </c>
      <c r="E18" s="1">
        <v>0.45310579424517139</v>
      </c>
    </row>
    <row r="19" spans="1:5" s="3" customFormat="1" x14ac:dyDescent="0.3">
      <c r="A19" s="4">
        <v>2006</v>
      </c>
      <c r="B19" s="1" t="s">
        <v>19</v>
      </c>
      <c r="C19" s="1">
        <v>149132.00558395783</v>
      </c>
      <c r="D19" s="1">
        <v>0</v>
      </c>
      <c r="E19" s="1">
        <v>0</v>
      </c>
    </row>
    <row r="20" spans="1:5" s="3" customFormat="1" x14ac:dyDescent="0.3">
      <c r="A20" s="4">
        <v>2006</v>
      </c>
      <c r="B20" s="1" t="s">
        <v>20</v>
      </c>
      <c r="C20" s="1">
        <v>207514.99506100579</v>
      </c>
      <c r="D20" s="1">
        <v>0</v>
      </c>
      <c r="E20" s="1">
        <v>0</v>
      </c>
    </row>
    <row r="21" spans="1:5" s="3" customFormat="1" x14ac:dyDescent="0.3">
      <c r="A21" s="4">
        <v>2006</v>
      </c>
      <c r="B21" s="1" t="s">
        <v>21</v>
      </c>
      <c r="C21" s="1">
        <v>192163.01311604568</v>
      </c>
      <c r="D21" s="1">
        <v>0</v>
      </c>
      <c r="E21" s="1">
        <v>0</v>
      </c>
    </row>
    <row r="22" spans="1:5" s="3" customFormat="1" x14ac:dyDescent="0.3">
      <c r="A22" s="4">
        <v>2006</v>
      </c>
      <c r="B22" s="1" t="s">
        <v>22</v>
      </c>
      <c r="C22" s="1">
        <v>273864.00490072434</v>
      </c>
      <c r="D22" s="1">
        <v>0</v>
      </c>
      <c r="E22" s="1">
        <v>0</v>
      </c>
    </row>
    <row r="23" spans="1:5" s="4" customFormat="1" x14ac:dyDescent="0.3">
      <c r="A23" s="4">
        <v>2007</v>
      </c>
      <c r="B23" s="4" t="s">
        <v>14</v>
      </c>
      <c r="C23" s="4">
        <v>1546900.9749813727</v>
      </c>
      <c r="D23" s="4">
        <v>14</v>
      </c>
      <c r="E23" s="5">
        <v>0.9050353077816492</v>
      </c>
    </row>
    <row r="24" spans="1:5" s="3" customFormat="1" x14ac:dyDescent="0.3">
      <c r="A24" s="4">
        <v>2007</v>
      </c>
      <c r="B24" s="1" t="s">
        <v>16</v>
      </c>
      <c r="C24" s="1">
        <v>455499.00678673625</v>
      </c>
      <c r="D24" s="1">
        <v>8</v>
      </c>
      <c r="E24" s="1">
        <v>1.7563155749636099</v>
      </c>
    </row>
    <row r="25" spans="1:5" s="3" customFormat="1" x14ac:dyDescent="0.3">
      <c r="A25" s="4">
        <v>2007</v>
      </c>
      <c r="B25" s="1" t="s">
        <v>18</v>
      </c>
      <c r="C25" s="1">
        <v>222281.99451776809</v>
      </c>
      <c r="D25" s="1">
        <v>2</v>
      </c>
      <c r="E25" s="1">
        <v>0.89975798729848555</v>
      </c>
    </row>
    <row r="26" spans="1:5" s="3" customFormat="1" x14ac:dyDescent="0.3">
      <c r="A26" s="4">
        <v>2007</v>
      </c>
      <c r="B26" s="1" t="s">
        <v>19</v>
      </c>
      <c r="C26" s="1">
        <v>150581.00147998394</v>
      </c>
      <c r="D26" s="1">
        <v>0</v>
      </c>
      <c r="E26" s="1">
        <v>0</v>
      </c>
    </row>
    <row r="27" spans="1:5" s="3" customFormat="1" x14ac:dyDescent="0.3">
      <c r="A27" s="4">
        <v>2007</v>
      </c>
      <c r="B27" s="1" t="s">
        <v>20</v>
      </c>
      <c r="C27" s="1">
        <v>210105.00075037498</v>
      </c>
      <c r="D27" s="1">
        <v>3</v>
      </c>
      <c r="E27" s="1">
        <v>1.4278574947220268</v>
      </c>
    </row>
    <row r="28" spans="1:5" s="3" customFormat="1" x14ac:dyDescent="0.3">
      <c r="A28" s="4">
        <v>2007</v>
      </c>
      <c r="B28" s="1" t="s">
        <v>21</v>
      </c>
      <c r="C28" s="1">
        <v>194289.99371206929</v>
      </c>
      <c r="D28" s="1">
        <v>1</v>
      </c>
      <c r="E28" s="1">
        <v>0.5146945454545454</v>
      </c>
    </row>
    <row r="29" spans="1:5" s="3" customFormat="1" x14ac:dyDescent="0.3">
      <c r="A29" s="4">
        <v>2007</v>
      </c>
      <c r="B29" s="1" t="s">
        <v>22</v>
      </c>
      <c r="C29" s="1">
        <v>277821.00262457971</v>
      </c>
      <c r="D29" s="1">
        <v>0</v>
      </c>
      <c r="E29" s="1">
        <v>0</v>
      </c>
    </row>
    <row r="30" spans="1:5" s="4" customFormat="1" x14ac:dyDescent="0.3">
      <c r="A30" s="4">
        <v>2008</v>
      </c>
      <c r="B30" s="4" t="s">
        <v>14</v>
      </c>
      <c r="C30" s="4">
        <v>1557759.0709020009</v>
      </c>
      <c r="D30" s="4">
        <v>17</v>
      </c>
      <c r="E30" s="5">
        <v>1.0913112507286742</v>
      </c>
    </row>
    <row r="31" spans="1:5" s="3" customFormat="1" x14ac:dyDescent="0.3">
      <c r="A31" s="4">
        <v>2008</v>
      </c>
      <c r="B31" s="1" t="s">
        <v>16</v>
      </c>
      <c r="C31" s="1">
        <v>439850.99365114246</v>
      </c>
      <c r="D31" s="1">
        <v>2</v>
      </c>
      <c r="E31" s="1">
        <v>0.45469943887094028</v>
      </c>
    </row>
    <row r="32" spans="1:5" s="3" customFormat="1" x14ac:dyDescent="0.3">
      <c r="A32" s="4">
        <v>2008</v>
      </c>
      <c r="B32" s="1" t="s">
        <v>18</v>
      </c>
      <c r="C32" s="1">
        <v>251336.00349497818</v>
      </c>
      <c r="D32" s="1">
        <v>9</v>
      </c>
      <c r="E32" s="1">
        <v>3.5808638137193198</v>
      </c>
    </row>
    <row r="33" spans="1:5" s="3" customFormat="1" x14ac:dyDescent="0.3">
      <c r="A33" s="4">
        <v>2008</v>
      </c>
      <c r="B33" s="1" t="s">
        <v>19</v>
      </c>
      <c r="C33" s="1">
        <v>178039.99833341103</v>
      </c>
      <c r="D33" s="1">
        <v>0</v>
      </c>
      <c r="E33" s="1">
        <v>0</v>
      </c>
    </row>
    <row r="34" spans="1:5" s="3" customFormat="1" x14ac:dyDescent="0.3">
      <c r="A34" s="4">
        <v>2008</v>
      </c>
      <c r="B34" s="1" t="s">
        <v>20</v>
      </c>
      <c r="C34" s="1">
        <v>211962.98617107546</v>
      </c>
      <c r="D34" s="1">
        <v>2</v>
      </c>
      <c r="E34" s="1">
        <v>0.94356096605744122</v>
      </c>
    </row>
    <row r="35" spans="1:5" s="3" customFormat="1" x14ac:dyDescent="0.3">
      <c r="A35" s="4">
        <v>2008</v>
      </c>
      <c r="B35" s="1" t="s">
        <v>21</v>
      </c>
      <c r="C35" s="1">
        <v>195766.00923903295</v>
      </c>
      <c r="D35" s="1">
        <v>3</v>
      </c>
      <c r="E35" s="1">
        <v>1.5324417204301075</v>
      </c>
    </row>
    <row r="36" spans="1:5" s="3" customFormat="1" x14ac:dyDescent="0.3">
      <c r="A36" s="4">
        <v>2008</v>
      </c>
      <c r="B36" s="1" t="s">
        <v>22</v>
      </c>
      <c r="C36" s="1">
        <v>280803.01762773143</v>
      </c>
      <c r="D36" s="1">
        <v>1</v>
      </c>
      <c r="E36" s="1">
        <v>0.3561215290519878</v>
      </c>
    </row>
    <row r="37" spans="1:5" s="4" customFormat="1" x14ac:dyDescent="0.3">
      <c r="A37" s="4">
        <v>2009</v>
      </c>
      <c r="B37" s="4" t="s">
        <v>14</v>
      </c>
      <c r="C37" s="4">
        <v>1572639.9733534832</v>
      </c>
      <c r="D37" s="4">
        <v>15</v>
      </c>
      <c r="E37" s="5">
        <v>0.95381016978820243</v>
      </c>
    </row>
    <row r="38" spans="1:5" s="3" customFormat="1" x14ac:dyDescent="0.3">
      <c r="A38" s="4">
        <v>2009</v>
      </c>
      <c r="B38" s="1" t="s">
        <v>16</v>
      </c>
      <c r="C38" s="1">
        <v>421304.98789734807</v>
      </c>
      <c r="D38" s="1">
        <v>4</v>
      </c>
      <c r="E38" s="1">
        <v>0.94943096210733913</v>
      </c>
    </row>
    <row r="39" spans="1:5" s="3" customFormat="1" x14ac:dyDescent="0.3">
      <c r="A39" s="4">
        <v>2009</v>
      </c>
      <c r="B39" s="1" t="s">
        <v>18</v>
      </c>
      <c r="C39" s="1">
        <v>266097.99750612961</v>
      </c>
      <c r="D39" s="1">
        <v>1</v>
      </c>
      <c r="E39" s="1">
        <v>0.37580139999999995</v>
      </c>
    </row>
    <row r="40" spans="1:5" s="3" customFormat="1" x14ac:dyDescent="0.3">
      <c r="A40" s="4">
        <v>2009</v>
      </c>
      <c r="B40" s="1" t="s">
        <v>19</v>
      </c>
      <c r="C40" s="1">
        <v>188475.00412915653</v>
      </c>
      <c r="D40" s="1">
        <v>0</v>
      </c>
      <c r="E40" s="1">
        <v>0</v>
      </c>
    </row>
    <row r="41" spans="1:5" s="3" customFormat="1" x14ac:dyDescent="0.3">
      <c r="A41" s="4">
        <v>2009</v>
      </c>
      <c r="B41" s="1" t="s">
        <v>20</v>
      </c>
      <c r="C41" s="1">
        <v>214412.00617569342</v>
      </c>
      <c r="D41" s="1">
        <v>7</v>
      </c>
      <c r="E41" s="1">
        <v>3.264742550967068</v>
      </c>
    </row>
    <row r="42" spans="1:5" s="3" customFormat="1" x14ac:dyDescent="0.3">
      <c r="A42" s="4">
        <v>2009</v>
      </c>
      <c r="B42" s="1" t="s">
        <v>21</v>
      </c>
      <c r="C42" s="1">
        <v>197799.99124218893</v>
      </c>
      <c r="D42" s="1">
        <v>3</v>
      </c>
      <c r="E42" s="1">
        <v>1.5166835858585859</v>
      </c>
    </row>
    <row r="43" spans="1:5" s="3" customFormat="1" x14ac:dyDescent="0.3">
      <c r="A43" s="4">
        <v>2009</v>
      </c>
      <c r="B43" s="1" t="s">
        <v>22</v>
      </c>
      <c r="C43" s="1">
        <v>284549.97984366346</v>
      </c>
      <c r="D43" s="1">
        <v>0</v>
      </c>
      <c r="E43" s="1">
        <v>0</v>
      </c>
    </row>
    <row r="44" spans="1:5" s="4" customFormat="1" x14ac:dyDescent="0.3">
      <c r="A44" s="4">
        <v>2010</v>
      </c>
      <c r="B44" s="4" t="s">
        <v>14</v>
      </c>
      <c r="C44" s="4">
        <v>1586636.0084039764</v>
      </c>
      <c r="D44" s="4">
        <v>21</v>
      </c>
      <c r="E44" s="5">
        <v>1.3235549860691898</v>
      </c>
    </row>
    <row r="45" spans="1:5" s="3" customFormat="1" x14ac:dyDescent="0.3">
      <c r="A45" s="4">
        <v>2010</v>
      </c>
      <c r="B45" s="1" t="s">
        <v>16</v>
      </c>
      <c r="C45" s="1">
        <v>481931.99613721325</v>
      </c>
      <c r="D45" s="1">
        <v>8</v>
      </c>
      <c r="E45" s="1">
        <v>1.6599852394366197</v>
      </c>
    </row>
    <row r="46" spans="1:5" s="3" customFormat="1" x14ac:dyDescent="0.3">
      <c r="A46" s="4">
        <v>2010</v>
      </c>
      <c r="B46" s="1" t="s">
        <v>18</v>
      </c>
      <c r="C46" s="1">
        <v>235833.99703066342</v>
      </c>
      <c r="D46" s="1">
        <v>4</v>
      </c>
      <c r="E46" s="1">
        <v>1.6961083009079114</v>
      </c>
    </row>
    <row r="47" spans="1:5" s="3" customFormat="1" x14ac:dyDescent="0.3">
      <c r="A47" s="4">
        <v>2010</v>
      </c>
      <c r="B47" s="1" t="s">
        <v>19</v>
      </c>
      <c r="C47" s="1">
        <v>164059.00294598337</v>
      </c>
      <c r="D47" s="1">
        <v>2</v>
      </c>
      <c r="E47" s="1">
        <v>1.2190736040609136</v>
      </c>
    </row>
    <row r="48" spans="1:5" s="3" customFormat="1" x14ac:dyDescent="0.3">
      <c r="A48" s="4">
        <v>2010</v>
      </c>
      <c r="B48" s="1" t="s">
        <v>20</v>
      </c>
      <c r="C48" s="1">
        <v>216809.00042420294</v>
      </c>
      <c r="D48" s="1">
        <v>4</v>
      </c>
      <c r="E48" s="1">
        <v>1.8449418576598309</v>
      </c>
    </row>
    <row r="49" spans="1:5" s="3" customFormat="1" x14ac:dyDescent="0.3">
      <c r="A49" s="4">
        <v>2010</v>
      </c>
      <c r="B49" s="1" t="s">
        <v>21</v>
      </c>
      <c r="C49" s="1">
        <v>199787.99944035648</v>
      </c>
      <c r="D49" s="1">
        <v>2</v>
      </c>
      <c r="E49" s="1">
        <v>1.0010611275964392</v>
      </c>
    </row>
    <row r="50" spans="1:5" s="3" customFormat="1" x14ac:dyDescent="0.3">
      <c r="A50" s="4">
        <v>2010</v>
      </c>
      <c r="B50" s="1" t="s">
        <v>22</v>
      </c>
      <c r="C50" s="1">
        <v>288214.01250359695</v>
      </c>
      <c r="D50" s="1">
        <v>1</v>
      </c>
      <c r="E50" s="1">
        <v>0.34696439333862017</v>
      </c>
    </row>
    <row r="51" spans="1:5" s="4" customFormat="1" x14ac:dyDescent="0.3">
      <c r="A51" s="4">
        <v>2011</v>
      </c>
      <c r="B51" s="4" t="s">
        <v>14</v>
      </c>
      <c r="C51" s="4">
        <v>1993083.9529617853</v>
      </c>
      <c r="D51" s="4">
        <v>31</v>
      </c>
      <c r="E51" s="5">
        <v>1.5553785355570711</v>
      </c>
    </row>
    <row r="52" spans="1:5" s="3" customFormat="1" x14ac:dyDescent="0.3">
      <c r="A52" s="4">
        <v>2011</v>
      </c>
      <c r="B52" s="1" t="s">
        <v>16</v>
      </c>
      <c r="C52" s="1">
        <v>678304.98478819535</v>
      </c>
      <c r="D52" s="1">
        <v>6</v>
      </c>
      <c r="E52" s="1">
        <v>0.88455785149117472</v>
      </c>
    </row>
    <row r="53" spans="1:5" s="3" customFormat="1" x14ac:dyDescent="0.3">
      <c r="A53" s="4">
        <v>2011</v>
      </c>
      <c r="B53" s="1" t="s">
        <v>18</v>
      </c>
      <c r="C53" s="1">
        <v>329307.986115915</v>
      </c>
      <c r="D53" s="1">
        <v>2</v>
      </c>
      <c r="E53" s="1">
        <v>0.60733419301164737</v>
      </c>
    </row>
    <row r="54" spans="1:5" s="3" customFormat="1" x14ac:dyDescent="0.3">
      <c r="A54" s="4">
        <v>2011</v>
      </c>
      <c r="B54" s="1" t="s">
        <v>19</v>
      </c>
      <c r="C54" s="1">
        <v>282553.99698760215</v>
      </c>
      <c r="D54" s="1">
        <v>3</v>
      </c>
      <c r="E54" s="1">
        <v>1.0617439611486486</v>
      </c>
    </row>
    <row r="55" spans="1:5" s="3" customFormat="1" x14ac:dyDescent="0.3">
      <c r="A55" s="4">
        <v>2011</v>
      </c>
      <c r="B55" s="1" t="s">
        <v>20</v>
      </c>
      <c r="C55" s="1">
        <v>218262.98958375471</v>
      </c>
      <c r="D55" s="1">
        <v>11</v>
      </c>
      <c r="E55" s="1">
        <v>5.0397916847826076</v>
      </c>
    </row>
    <row r="56" spans="1:5" s="3" customFormat="1" x14ac:dyDescent="0.3">
      <c r="A56" s="4">
        <v>2011</v>
      </c>
      <c r="B56" s="1" t="s">
        <v>21</v>
      </c>
      <c r="C56" s="1">
        <v>222979.98337509783</v>
      </c>
      <c r="D56" s="1">
        <v>3</v>
      </c>
      <c r="E56" s="1">
        <v>1.3454122448979593</v>
      </c>
    </row>
    <row r="57" spans="1:5" s="3" customFormat="1" x14ac:dyDescent="0.3">
      <c r="A57" s="4">
        <v>2011</v>
      </c>
      <c r="B57" s="1" t="s">
        <v>22</v>
      </c>
      <c r="C57" s="1">
        <v>261673.99021087258</v>
      </c>
      <c r="D57" s="1">
        <v>6</v>
      </c>
      <c r="E57" s="1">
        <v>2.2929294559099436</v>
      </c>
    </row>
    <row r="58" spans="1:5" s="4" customFormat="1" x14ac:dyDescent="0.3">
      <c r="A58" s="4">
        <v>2012</v>
      </c>
      <c r="B58" s="4" t="s">
        <v>14</v>
      </c>
      <c r="C58" s="4">
        <v>2025707.9225006741</v>
      </c>
      <c r="D58" s="4">
        <v>58</v>
      </c>
      <c r="E58" s="5">
        <v>2.8631965820818226</v>
      </c>
    </row>
    <row r="59" spans="1:5" s="3" customFormat="1" x14ac:dyDescent="0.3">
      <c r="A59" s="4">
        <v>2012</v>
      </c>
      <c r="B59" s="1" t="s">
        <v>16</v>
      </c>
      <c r="C59" s="1">
        <v>680812.01218436775</v>
      </c>
      <c r="D59" s="1">
        <v>7</v>
      </c>
      <c r="E59" s="1">
        <v>1.028183973655324</v>
      </c>
    </row>
    <row r="60" spans="1:5" s="3" customFormat="1" x14ac:dyDescent="0.3">
      <c r="A60" s="4">
        <v>2012</v>
      </c>
      <c r="B60" s="1" t="s">
        <v>18</v>
      </c>
      <c r="C60" s="1">
        <v>329307.99524088175</v>
      </c>
      <c r="D60" s="1">
        <v>7</v>
      </c>
      <c r="E60" s="1">
        <v>2.1256696166394775</v>
      </c>
    </row>
    <row r="61" spans="1:5" s="3" customFormat="1" x14ac:dyDescent="0.3">
      <c r="A61" s="4">
        <v>2012</v>
      </c>
      <c r="B61" s="1" t="s">
        <v>19</v>
      </c>
      <c r="C61" s="1">
        <v>282553.98585782154</v>
      </c>
      <c r="D61" s="1">
        <v>5</v>
      </c>
      <c r="E61" s="1">
        <v>1.769573338284441</v>
      </c>
    </row>
    <row r="62" spans="1:5" s="3" customFormat="1" x14ac:dyDescent="0.3">
      <c r="A62" s="4">
        <v>2012</v>
      </c>
      <c r="B62" s="1" t="s">
        <v>20</v>
      </c>
      <c r="C62" s="1">
        <v>218262.98846283049</v>
      </c>
      <c r="D62" s="1">
        <v>11</v>
      </c>
      <c r="E62" s="1">
        <v>5.0397917106652583</v>
      </c>
    </row>
    <row r="63" spans="1:5" s="3" customFormat="1" x14ac:dyDescent="0.3">
      <c r="A63" s="4">
        <v>2012</v>
      </c>
      <c r="B63" s="1" t="s">
        <v>21</v>
      </c>
      <c r="C63" s="1">
        <v>222979.98648252775</v>
      </c>
      <c r="D63" s="1">
        <v>11</v>
      </c>
      <c r="E63" s="1">
        <v>4.93317816254417</v>
      </c>
    </row>
    <row r="64" spans="1:5" s="3" customFormat="1" x14ac:dyDescent="0.3">
      <c r="A64" s="4">
        <v>2012</v>
      </c>
      <c r="B64" s="1" t="s">
        <v>22</v>
      </c>
      <c r="C64" s="1">
        <v>261673.99359229641</v>
      </c>
      <c r="D64" s="1">
        <v>17</v>
      </c>
      <c r="E64" s="1">
        <v>6.4966333744602105</v>
      </c>
    </row>
    <row r="65" spans="1:5" s="4" customFormat="1" x14ac:dyDescent="0.3">
      <c r="A65" s="4">
        <v>2013</v>
      </c>
      <c r="B65" s="4" t="s">
        <v>14</v>
      </c>
      <c r="C65" s="4">
        <v>2079094.0232118207</v>
      </c>
      <c r="D65" s="4">
        <v>168</v>
      </c>
      <c r="E65" s="5">
        <v>8.0804426410918477</v>
      </c>
    </row>
    <row r="66" spans="1:5" s="3" customFormat="1" x14ac:dyDescent="0.3">
      <c r="A66" s="4">
        <v>2013</v>
      </c>
      <c r="B66" s="1" t="s">
        <v>16</v>
      </c>
      <c r="C66" s="1">
        <v>707575.98853557906</v>
      </c>
      <c r="D66" s="1">
        <v>17</v>
      </c>
      <c r="E66" s="1">
        <v>2.4025688089252042</v>
      </c>
    </row>
    <row r="67" spans="1:5" s="3" customFormat="1" x14ac:dyDescent="0.3">
      <c r="A67" s="4">
        <v>2013</v>
      </c>
      <c r="B67" s="1" t="s">
        <v>18</v>
      </c>
      <c r="C67" s="1">
        <v>343520.98439124582</v>
      </c>
      <c r="D67" s="1">
        <v>22</v>
      </c>
      <c r="E67" s="1">
        <v>6.404266696832579</v>
      </c>
    </row>
    <row r="68" spans="1:5" s="3" customFormat="1" x14ac:dyDescent="0.3">
      <c r="A68" s="4">
        <v>2013</v>
      </c>
      <c r="B68" s="1" t="s">
        <v>19</v>
      </c>
      <c r="C68" s="1">
        <v>294746.01095210819</v>
      </c>
      <c r="D68" s="1">
        <v>14</v>
      </c>
      <c r="E68" s="1">
        <v>4.7498522388059703</v>
      </c>
    </row>
    <row r="69" spans="1:5" s="3" customFormat="1" x14ac:dyDescent="0.3">
      <c r="A69" s="4">
        <v>2013</v>
      </c>
      <c r="B69" s="1" t="s">
        <v>20</v>
      </c>
      <c r="C69" s="1">
        <v>227678.01459075767</v>
      </c>
      <c r="D69" s="1">
        <v>22</v>
      </c>
      <c r="E69" s="1">
        <v>9.6627687304565342</v>
      </c>
    </row>
    <row r="70" spans="1:5" s="3" customFormat="1" x14ac:dyDescent="0.3">
      <c r="A70" s="4">
        <v>2013</v>
      </c>
      <c r="B70" s="1" t="s">
        <v>21</v>
      </c>
      <c r="C70" s="1">
        <v>232604.00109542685</v>
      </c>
      <c r="D70" s="1">
        <v>24</v>
      </c>
      <c r="E70" s="1">
        <v>10.317965248651889</v>
      </c>
    </row>
    <row r="71" spans="1:5" s="3" customFormat="1" x14ac:dyDescent="0.3">
      <c r="A71" s="4">
        <v>2013</v>
      </c>
      <c r="B71" s="1" t="s">
        <v>22</v>
      </c>
      <c r="C71" s="1">
        <v>272968.98360253271</v>
      </c>
      <c r="D71" s="1">
        <v>69</v>
      </c>
      <c r="E71" s="1">
        <v>25.27759714285715</v>
      </c>
    </row>
    <row r="72" spans="1:5" s="4" customFormat="1" x14ac:dyDescent="0.3">
      <c r="A72" s="4">
        <v>2014</v>
      </c>
      <c r="B72" s="4" t="s">
        <v>14</v>
      </c>
      <c r="C72" s="4">
        <v>2117160.0192228793</v>
      </c>
      <c r="D72" s="4">
        <v>461</v>
      </c>
      <c r="E72" s="5">
        <v>21.77445237083278</v>
      </c>
    </row>
    <row r="73" spans="1:5" s="3" customFormat="1" x14ac:dyDescent="0.3">
      <c r="A73" s="4">
        <v>2014</v>
      </c>
      <c r="B73" s="1" t="s">
        <v>16</v>
      </c>
      <c r="C73" s="1">
        <v>720529.96304171288</v>
      </c>
      <c r="D73" s="1">
        <v>84</v>
      </c>
      <c r="E73" s="1">
        <v>11.658085618729096</v>
      </c>
    </row>
    <row r="74" spans="1:5" s="3" customFormat="1" x14ac:dyDescent="0.3">
      <c r="A74" s="4">
        <v>2014</v>
      </c>
      <c r="B74" s="1" t="s">
        <v>18</v>
      </c>
      <c r="C74" s="1">
        <v>349810.99259714299</v>
      </c>
      <c r="D74" s="1">
        <v>67</v>
      </c>
      <c r="E74" s="1">
        <v>19.153200276115967</v>
      </c>
    </row>
    <row r="75" spans="1:5" s="3" customFormat="1" x14ac:dyDescent="0.3">
      <c r="A75" s="4">
        <v>2014</v>
      </c>
      <c r="B75" s="1" t="s">
        <v>19</v>
      </c>
      <c r="C75" s="1">
        <v>300141.99940880464</v>
      </c>
      <c r="D75" s="1">
        <v>38</v>
      </c>
      <c r="E75" s="1">
        <v>12.660673972602739</v>
      </c>
    </row>
    <row r="76" spans="1:5" s="3" customFormat="1" x14ac:dyDescent="0.3">
      <c r="A76" s="4">
        <v>2014</v>
      </c>
      <c r="B76" s="1" t="s">
        <v>20</v>
      </c>
      <c r="C76" s="1">
        <v>231847.01470355238</v>
      </c>
      <c r="D76" s="1">
        <v>74</v>
      </c>
      <c r="E76" s="1">
        <v>31.91759880739416</v>
      </c>
    </row>
    <row r="77" spans="1:5" s="3" customFormat="1" x14ac:dyDescent="0.3">
      <c r="A77" s="4">
        <v>2014</v>
      </c>
      <c r="B77" s="1" t="s">
        <v>21</v>
      </c>
      <c r="C77" s="1">
        <v>236862.98239969547</v>
      </c>
      <c r="D77" s="1">
        <v>35</v>
      </c>
      <c r="E77" s="1">
        <v>14.776475262368814</v>
      </c>
    </row>
    <row r="78" spans="1:5" s="3" customFormat="1" x14ac:dyDescent="0.3">
      <c r="A78" s="4">
        <v>2014</v>
      </c>
      <c r="B78" s="1" t="s">
        <v>22</v>
      </c>
      <c r="C78" s="1">
        <v>277966.9902064366</v>
      </c>
      <c r="D78" s="1">
        <v>163</v>
      </c>
      <c r="E78" s="1">
        <v>58.640056461001166</v>
      </c>
    </row>
    <row r="79" spans="1:5" s="8" customFormat="1" x14ac:dyDescent="0.3">
      <c r="A79" s="4">
        <v>2015</v>
      </c>
      <c r="B79" s="5" t="s">
        <v>14</v>
      </c>
      <c r="C79" s="5">
        <v>2140576.1856299257</v>
      </c>
      <c r="D79" s="5">
        <v>483</v>
      </c>
      <c r="E79" s="5">
        <v>22.564018194842408</v>
      </c>
    </row>
    <row r="80" spans="1:5" x14ac:dyDescent="0.3">
      <c r="A80" s="4">
        <v>2015</v>
      </c>
      <c r="B80" s="1" t="s">
        <v>16</v>
      </c>
      <c r="C80" s="1">
        <v>728688.92182133603</v>
      </c>
      <c r="D80" s="9">
        <v>52</v>
      </c>
      <c r="E80" s="1">
        <v>7.1361040963855418</v>
      </c>
    </row>
    <row r="81" spans="1:5" x14ac:dyDescent="0.3">
      <c r="A81" s="4">
        <v>2015</v>
      </c>
      <c r="B81" s="1" t="s">
        <v>18</v>
      </c>
      <c r="C81" s="1">
        <v>353529.04092817107</v>
      </c>
      <c r="D81" s="1">
        <v>82</v>
      </c>
      <c r="E81" s="1">
        <v>23.194699870967746</v>
      </c>
    </row>
    <row r="82" spans="1:5" x14ac:dyDescent="0.3">
      <c r="A82" s="4">
        <v>2015</v>
      </c>
      <c r="B82" s="1" t="s">
        <v>19</v>
      </c>
      <c r="C82" s="1">
        <v>303403.02613215079</v>
      </c>
      <c r="D82" s="1">
        <v>29</v>
      </c>
      <c r="E82" s="1">
        <v>9.5582434920634931</v>
      </c>
    </row>
    <row r="83" spans="1:5" x14ac:dyDescent="0.3">
      <c r="A83" s="4">
        <v>2015</v>
      </c>
      <c r="B83" s="1" t="s">
        <v>20</v>
      </c>
      <c r="C83" s="1">
        <v>234474.94952682467</v>
      </c>
      <c r="D83" s="1">
        <v>133</v>
      </c>
      <c r="E83" s="1">
        <v>56.722477291666664</v>
      </c>
    </row>
    <row r="84" spans="1:5" x14ac:dyDescent="0.3">
      <c r="A84" s="4">
        <v>2015</v>
      </c>
      <c r="B84" s="1" t="s">
        <v>21</v>
      </c>
      <c r="C84" s="1">
        <v>239520.95808383232</v>
      </c>
      <c r="D84" s="1">
        <v>65</v>
      </c>
      <c r="E84" s="1">
        <v>27.137500000000003</v>
      </c>
    </row>
    <row r="85" spans="1:5" x14ac:dyDescent="0.3">
      <c r="A85" s="4">
        <v>2015</v>
      </c>
      <c r="B85" s="1" t="s">
        <v>22</v>
      </c>
      <c r="C85" s="1">
        <v>280959.05823550018</v>
      </c>
      <c r="D85" s="1">
        <v>122</v>
      </c>
      <c r="E85" s="1">
        <v>43.422696803652961</v>
      </c>
    </row>
    <row r="86" spans="1:5" s="8" customFormat="1" x14ac:dyDescent="0.3">
      <c r="A86" s="4">
        <v>2016</v>
      </c>
      <c r="B86" s="5" t="s">
        <v>14</v>
      </c>
      <c r="C86" s="5">
        <v>2164199.5588822318</v>
      </c>
      <c r="D86" s="5">
        <v>378</v>
      </c>
      <c r="E86" s="5">
        <v>17.466041818954526</v>
      </c>
    </row>
    <row r="87" spans="1:5" x14ac:dyDescent="0.3">
      <c r="A87" s="4">
        <v>2016</v>
      </c>
      <c r="B87" s="1" t="s">
        <v>16</v>
      </c>
      <c r="C87" s="1">
        <v>736480.93750981672</v>
      </c>
      <c r="D87" s="1">
        <v>45</v>
      </c>
      <c r="E87" s="1">
        <v>6.1101377792823293</v>
      </c>
    </row>
    <row r="88" spans="1:5" x14ac:dyDescent="0.3">
      <c r="A88" s="4">
        <v>2016</v>
      </c>
      <c r="B88" s="1" t="s">
        <v>18</v>
      </c>
      <c r="C88" s="1">
        <v>357493.06269124663</v>
      </c>
      <c r="D88" s="1">
        <v>43</v>
      </c>
      <c r="E88" s="1">
        <v>12.028205436013591</v>
      </c>
    </row>
    <row r="89" spans="1:5" x14ac:dyDescent="0.3">
      <c r="A89" s="4">
        <v>2016</v>
      </c>
      <c r="B89" s="1" t="s">
        <v>19</v>
      </c>
      <c r="C89" s="1">
        <v>306805.02616155171</v>
      </c>
      <c r="D89" s="1">
        <v>34</v>
      </c>
      <c r="E89" s="1">
        <v>11.081956650246306</v>
      </c>
    </row>
    <row r="90" spans="1:5" x14ac:dyDescent="0.3">
      <c r="A90" s="4">
        <v>2016</v>
      </c>
      <c r="B90" s="1" t="s">
        <v>20</v>
      </c>
      <c r="C90" s="1">
        <v>237104.02579883399</v>
      </c>
      <c r="D90" s="1">
        <v>59</v>
      </c>
      <c r="E90" s="1">
        <v>24.88359267676768</v>
      </c>
    </row>
    <row r="91" spans="1:5" x14ac:dyDescent="0.3">
      <c r="A91" s="4">
        <v>2016</v>
      </c>
      <c r="B91" s="1" t="s">
        <v>21</v>
      </c>
      <c r="C91" s="1">
        <v>242206.96812211585</v>
      </c>
      <c r="D91" s="1">
        <v>58</v>
      </c>
      <c r="E91" s="1">
        <v>23.946462172284644</v>
      </c>
    </row>
    <row r="92" spans="1:5" x14ac:dyDescent="0.3">
      <c r="A92" s="4">
        <v>2016</v>
      </c>
      <c r="B92" s="1" t="s">
        <v>22</v>
      </c>
      <c r="C92" s="1">
        <v>284110.00250505592</v>
      </c>
      <c r="D92" s="9">
        <v>139</v>
      </c>
      <c r="E92" s="1">
        <v>48.92471182795699</v>
      </c>
    </row>
    <row r="93" spans="1:5" s="8" customFormat="1" x14ac:dyDescent="0.3">
      <c r="A93" s="4">
        <v>2017</v>
      </c>
      <c r="B93" s="5" t="s">
        <v>14</v>
      </c>
      <c r="C93" s="6">
        <v>2191099.7643732843</v>
      </c>
      <c r="D93" s="6">
        <v>299</v>
      </c>
      <c r="E93" s="5">
        <v>13.646115291583829</v>
      </c>
    </row>
    <row r="94" spans="1:5" x14ac:dyDescent="0.3">
      <c r="A94" s="4">
        <v>2017</v>
      </c>
      <c r="B94" s="1" t="s">
        <v>16</v>
      </c>
      <c r="C94" s="10">
        <v>745634.97088898206</v>
      </c>
      <c r="D94" s="10">
        <v>34</v>
      </c>
      <c r="E94" s="1">
        <v>4.5598719651605872</v>
      </c>
    </row>
    <row r="95" spans="1:5" x14ac:dyDescent="0.3">
      <c r="A95" s="4">
        <v>2017</v>
      </c>
      <c r="B95" s="1" t="s">
        <v>18</v>
      </c>
      <c r="C95" s="10">
        <v>361935.94545001275</v>
      </c>
      <c r="D95" s="10">
        <v>59</v>
      </c>
      <c r="E95" s="1">
        <v>16.301226982758621</v>
      </c>
    </row>
    <row r="96" spans="1:5" x14ac:dyDescent="0.3">
      <c r="A96" s="4">
        <v>2017</v>
      </c>
      <c r="B96" s="1" t="s">
        <v>19</v>
      </c>
      <c r="C96" s="10">
        <v>310619.02141124033</v>
      </c>
      <c r="D96" s="10">
        <v>41</v>
      </c>
      <c r="E96" s="1">
        <v>13.199449220374223</v>
      </c>
    </row>
    <row r="97" spans="1:5" x14ac:dyDescent="0.3">
      <c r="A97" s="4">
        <v>2017</v>
      </c>
      <c r="B97" s="1" t="s">
        <v>20</v>
      </c>
      <c r="C97" s="10">
        <v>240050.01329773458</v>
      </c>
      <c r="D97" s="10">
        <v>47</v>
      </c>
      <c r="E97" s="1">
        <v>19.579253237410068</v>
      </c>
    </row>
    <row r="98" spans="1:5" x14ac:dyDescent="0.3">
      <c r="A98" s="4">
        <v>2017</v>
      </c>
      <c r="B98" s="1" t="s">
        <v>21</v>
      </c>
      <c r="C98" s="10">
        <v>245218.98205538641</v>
      </c>
      <c r="D98" s="10">
        <v>53</v>
      </c>
      <c r="E98" s="1">
        <v>21.613334969325152</v>
      </c>
    </row>
    <row r="99" spans="1:5" x14ac:dyDescent="0.3">
      <c r="A99" s="4">
        <v>2017</v>
      </c>
      <c r="B99" s="1" t="s">
        <v>22</v>
      </c>
      <c r="C99" s="10">
        <v>287640.94986464636</v>
      </c>
      <c r="D99" s="10">
        <v>65</v>
      </c>
      <c r="E99" s="1">
        <v>22.59761693548387</v>
      </c>
    </row>
    <row r="100" spans="1:5" s="8" customFormat="1" x14ac:dyDescent="0.3">
      <c r="A100" s="4">
        <v>2018</v>
      </c>
      <c r="B100" s="5" t="s">
        <v>14</v>
      </c>
      <c r="C100" s="6">
        <v>2225389.8458870556</v>
      </c>
      <c r="D100" s="6">
        <v>317</v>
      </c>
      <c r="E100" s="5">
        <v>14.244695174909529</v>
      </c>
    </row>
    <row r="101" spans="1:5" x14ac:dyDescent="0.3">
      <c r="A101" s="4">
        <v>2018</v>
      </c>
      <c r="B101" s="1" t="s">
        <v>16</v>
      </c>
      <c r="C101" s="10">
        <v>757304.01209386112</v>
      </c>
      <c r="D101" s="10">
        <v>54</v>
      </c>
      <c r="E101" s="1">
        <v>7.1305577598481262</v>
      </c>
    </row>
    <row r="102" spans="1:5" x14ac:dyDescent="0.3">
      <c r="A102" s="4">
        <v>2018</v>
      </c>
      <c r="B102" s="1" t="s">
        <v>18</v>
      </c>
      <c r="C102" s="10">
        <v>367600.03684944409</v>
      </c>
      <c r="D102" s="10">
        <v>34</v>
      </c>
      <c r="E102" s="1">
        <v>9.2491829683698299</v>
      </c>
    </row>
    <row r="103" spans="1:5" x14ac:dyDescent="0.3">
      <c r="A103" s="4">
        <v>2018</v>
      </c>
      <c r="B103" s="1" t="s">
        <v>19</v>
      </c>
      <c r="C103" s="10">
        <v>315481.01540359156</v>
      </c>
      <c r="D103" s="10">
        <v>39</v>
      </c>
      <c r="E103" s="1">
        <v>12.362075084013441</v>
      </c>
    </row>
    <row r="104" spans="1:5" x14ac:dyDescent="0.3">
      <c r="A104" s="4">
        <v>2018</v>
      </c>
      <c r="B104" s="1" t="s">
        <v>20</v>
      </c>
      <c r="C104" s="10">
        <v>243807.01528638729</v>
      </c>
      <c r="D104" s="10">
        <v>50</v>
      </c>
      <c r="E104" s="1">
        <v>20.508023504273503</v>
      </c>
    </row>
    <row r="105" spans="1:5" x14ac:dyDescent="0.3">
      <c r="A105" s="4">
        <v>2018</v>
      </c>
      <c r="B105" s="1" t="s">
        <v>21</v>
      </c>
      <c r="C105" s="10">
        <v>249055.99742909937</v>
      </c>
      <c r="D105" s="10">
        <v>70</v>
      </c>
      <c r="E105" s="1">
        <v>28.106129032258064</v>
      </c>
    </row>
    <row r="106" spans="1:5" x14ac:dyDescent="0.3">
      <c r="A106" s="4">
        <v>2018</v>
      </c>
      <c r="B106" s="1" t="s">
        <v>22</v>
      </c>
      <c r="C106" s="10">
        <v>292142.09031228325</v>
      </c>
      <c r="D106" s="10">
        <v>70</v>
      </c>
      <c r="E106" s="1">
        <v>23.960943089430895</v>
      </c>
    </row>
    <row r="107" spans="1:5" s="8" customFormat="1" x14ac:dyDescent="0.3">
      <c r="A107" s="4">
        <v>2019</v>
      </c>
      <c r="B107" s="5" t="s">
        <v>14</v>
      </c>
      <c r="C107" s="6">
        <v>2250197.782112313</v>
      </c>
      <c r="D107" s="6">
        <v>359</v>
      </c>
      <c r="E107" s="5">
        <v>15.954153135063457</v>
      </c>
    </row>
    <row r="108" spans="1:5" x14ac:dyDescent="0.3">
      <c r="A108" s="4">
        <v>2019</v>
      </c>
      <c r="B108" s="1" t="s">
        <v>16</v>
      </c>
      <c r="C108" s="10">
        <v>757172.87939902546</v>
      </c>
      <c r="D108" s="10">
        <v>35</v>
      </c>
      <c r="E108" s="1">
        <v>4.6224582195521577</v>
      </c>
    </row>
    <row r="109" spans="1:5" x14ac:dyDescent="0.3">
      <c r="A109" s="4">
        <v>2019</v>
      </c>
      <c r="B109" s="1" t="s">
        <v>18</v>
      </c>
      <c r="C109" s="10">
        <v>362977.07027217798</v>
      </c>
      <c r="D109" s="10">
        <v>60</v>
      </c>
      <c r="E109" s="1">
        <v>16.529969773299744</v>
      </c>
    </row>
    <row r="110" spans="1:5" x14ac:dyDescent="0.3">
      <c r="A110" s="4">
        <v>2019</v>
      </c>
      <c r="B110" s="1" t="s">
        <v>19</v>
      </c>
      <c r="C110" s="10">
        <v>327200.02396503428</v>
      </c>
      <c r="D110" s="10">
        <v>55</v>
      </c>
      <c r="E110" s="1">
        <v>16.809289722386293</v>
      </c>
    </row>
    <row r="111" spans="1:5" x14ac:dyDescent="0.3">
      <c r="A111" s="4">
        <v>2019</v>
      </c>
      <c r="B111" s="1" t="s">
        <v>20</v>
      </c>
      <c r="C111" s="10">
        <v>243588.95367081388</v>
      </c>
      <c r="D111" s="10">
        <v>43</v>
      </c>
      <c r="E111" s="1">
        <v>17.652688823529413</v>
      </c>
    </row>
    <row r="112" spans="1:5" x14ac:dyDescent="0.3">
      <c r="A112" s="4">
        <v>2019</v>
      </c>
      <c r="B112" s="1" t="s">
        <v>21</v>
      </c>
      <c r="C112" s="10">
        <v>264264.98105390579</v>
      </c>
      <c r="D112" s="10">
        <v>80</v>
      </c>
      <c r="E112" s="1">
        <v>30.272645161290324</v>
      </c>
    </row>
    <row r="113" spans="1:5" x14ac:dyDescent="0.3">
      <c r="A113" s="4">
        <v>2019</v>
      </c>
      <c r="B113" s="1" t="s">
        <v>22</v>
      </c>
      <c r="C113" s="10">
        <v>294993.924642806</v>
      </c>
      <c r="D113" s="10">
        <v>86</v>
      </c>
      <c r="E113" s="1">
        <v>29.153142765273309</v>
      </c>
    </row>
    <row r="114" spans="1:5" s="8" customFormat="1" x14ac:dyDescent="0.3">
      <c r="A114" s="4">
        <v>2020</v>
      </c>
      <c r="B114" s="5" t="s">
        <v>14</v>
      </c>
      <c r="C114" s="6">
        <v>2293096.5837783567</v>
      </c>
      <c r="D114" s="6">
        <v>586</v>
      </c>
      <c r="E114" s="5">
        <v>25.554963717857984</v>
      </c>
    </row>
    <row r="115" spans="1:5" x14ac:dyDescent="0.3">
      <c r="A115" s="4">
        <v>2020</v>
      </c>
      <c r="B115" s="1" t="s">
        <v>16</v>
      </c>
      <c r="C115" s="10">
        <v>755446.89664905344</v>
      </c>
      <c r="D115" s="10">
        <v>45</v>
      </c>
      <c r="E115" s="1">
        <v>5.9567390109890104</v>
      </c>
    </row>
    <row r="116" spans="1:5" x14ac:dyDescent="0.3">
      <c r="A116" s="4">
        <v>2020</v>
      </c>
      <c r="B116" s="1" t="s">
        <v>18</v>
      </c>
      <c r="C116" s="10">
        <v>362823.93704532407</v>
      </c>
      <c r="D116" s="10">
        <v>74</v>
      </c>
      <c r="E116" s="1">
        <v>20.395567228177644</v>
      </c>
    </row>
    <row r="117" spans="1:5" x14ac:dyDescent="0.3">
      <c r="A117" s="4">
        <v>2020</v>
      </c>
      <c r="B117" s="1" t="s">
        <v>19</v>
      </c>
      <c r="C117" s="10">
        <v>369299.00226977986</v>
      </c>
      <c r="D117" s="10">
        <v>79</v>
      </c>
      <c r="E117" s="1">
        <v>21.391880160642572</v>
      </c>
    </row>
    <row r="118" spans="1:5" x14ac:dyDescent="0.3">
      <c r="A118" s="4">
        <v>2020</v>
      </c>
      <c r="B118" s="1" t="s">
        <v>20</v>
      </c>
      <c r="C118" s="10">
        <v>245570.00066783911</v>
      </c>
      <c r="D118" s="10">
        <v>154</v>
      </c>
      <c r="E118" s="1">
        <v>62.711243059490087</v>
      </c>
    </row>
    <row r="119" spans="1:5" x14ac:dyDescent="0.3">
      <c r="A119" s="4">
        <v>2020</v>
      </c>
      <c r="B119" s="1" t="s">
        <v>21</v>
      </c>
      <c r="C119" s="10">
        <v>263842.94477640669</v>
      </c>
      <c r="D119" s="10">
        <v>119</v>
      </c>
      <c r="E119" s="1">
        <v>45.102589383561636</v>
      </c>
    </row>
    <row r="120" spans="1:5" x14ac:dyDescent="0.3">
      <c r="A120" s="4">
        <v>2020</v>
      </c>
      <c r="B120" s="1" t="s">
        <v>22</v>
      </c>
      <c r="C120" s="10">
        <v>296112.9214697305</v>
      </c>
      <c r="D120" s="10">
        <v>115</v>
      </c>
      <c r="E120" s="1">
        <v>38.8365355450237</v>
      </c>
    </row>
    <row r="121" spans="1:5" s="8" customFormat="1" x14ac:dyDescent="0.3">
      <c r="A121" s="4">
        <v>2021</v>
      </c>
      <c r="B121" s="5" t="s">
        <v>14</v>
      </c>
      <c r="C121" s="6">
        <v>2859066.0238153185</v>
      </c>
      <c r="D121" s="5">
        <v>697</v>
      </c>
      <c r="E121" s="5">
        <v>24.378590567484661</v>
      </c>
    </row>
    <row r="122" spans="1:5" x14ac:dyDescent="0.3">
      <c r="A122" s="4">
        <v>2021</v>
      </c>
      <c r="B122" s="1" t="s">
        <v>16</v>
      </c>
      <c r="C122" s="10">
        <v>808280.04716664576</v>
      </c>
      <c r="D122" s="1">
        <v>87</v>
      </c>
      <c r="E122" s="1">
        <v>10.763596145292812</v>
      </c>
    </row>
    <row r="123" spans="1:5" x14ac:dyDescent="0.3">
      <c r="A123" s="4">
        <v>2021</v>
      </c>
      <c r="B123" s="1" t="s">
        <v>18</v>
      </c>
      <c r="C123" s="10">
        <v>449556.02793115261</v>
      </c>
      <c r="D123" s="1">
        <v>91</v>
      </c>
      <c r="E123" s="1">
        <v>20.242193263157894</v>
      </c>
    </row>
    <row r="124" spans="1:5" x14ac:dyDescent="0.3">
      <c r="A124" s="4">
        <v>2021</v>
      </c>
      <c r="B124" s="1" t="s">
        <v>19</v>
      </c>
      <c r="C124" s="10">
        <v>643952.96422433143</v>
      </c>
      <c r="D124" s="1">
        <v>106</v>
      </c>
      <c r="E124" s="1">
        <v>16.460829577464789</v>
      </c>
    </row>
    <row r="125" spans="1:5" x14ac:dyDescent="0.3">
      <c r="A125" s="4">
        <v>2021</v>
      </c>
      <c r="B125" s="1" t="s">
        <v>20</v>
      </c>
      <c r="C125" s="10">
        <v>321614.14683204825</v>
      </c>
      <c r="D125" s="1">
        <v>83</v>
      </c>
      <c r="E125" s="1">
        <v>25.807322475570032</v>
      </c>
    </row>
    <row r="126" spans="1:5" x14ac:dyDescent="0.3">
      <c r="A126" s="4">
        <v>2021</v>
      </c>
      <c r="B126" s="1" t="s">
        <v>21</v>
      </c>
      <c r="C126" s="10">
        <v>341505.03130048845</v>
      </c>
      <c r="D126" s="1">
        <v>178</v>
      </c>
      <c r="E126" s="1">
        <v>52.122218909090904</v>
      </c>
    </row>
    <row r="127" spans="1:5" x14ac:dyDescent="0.3">
      <c r="A127" s="4">
        <v>2021</v>
      </c>
      <c r="B127" s="1" t="s">
        <v>22</v>
      </c>
      <c r="C127" s="10">
        <v>294156.93033727875</v>
      </c>
      <c r="D127" s="1">
        <v>152</v>
      </c>
      <c r="E127" s="1">
        <v>51.673098378378377</v>
      </c>
    </row>
    <row r="128" spans="1:5" s="8" customFormat="1" x14ac:dyDescent="0.3">
      <c r="A128" s="4">
        <v>2022</v>
      </c>
      <c r="B128" s="5" t="s">
        <v>14</v>
      </c>
      <c r="C128" s="6">
        <v>2885375.3287864281</v>
      </c>
      <c r="D128" s="6">
        <v>894</v>
      </c>
      <c r="E128" s="5">
        <v>30.983837391304341</v>
      </c>
    </row>
    <row r="129" spans="1:5" x14ac:dyDescent="0.3">
      <c r="A129" s="4">
        <v>2022</v>
      </c>
      <c r="B129" s="1" t="s">
        <v>16</v>
      </c>
      <c r="C129" s="10">
        <v>816980.80663169443</v>
      </c>
      <c r="D129" s="10">
        <v>83</v>
      </c>
      <c r="E129" s="1">
        <v>10.159357395701646</v>
      </c>
    </row>
    <row r="130" spans="1:5" x14ac:dyDescent="0.3">
      <c r="A130" s="4">
        <v>2022</v>
      </c>
      <c r="B130" s="1" t="s">
        <v>18</v>
      </c>
      <c r="C130" s="10">
        <v>455052.93384247134</v>
      </c>
      <c r="D130" s="10">
        <v>78</v>
      </c>
      <c r="E130" s="1">
        <v>17.140863007159904</v>
      </c>
    </row>
    <row r="131" spans="1:5" x14ac:dyDescent="0.3">
      <c r="A131" s="4">
        <v>2022</v>
      </c>
      <c r="B131" s="1" t="s">
        <v>19</v>
      </c>
      <c r="C131" s="10">
        <v>654394.12172711024</v>
      </c>
      <c r="D131" s="10">
        <v>115</v>
      </c>
      <c r="E131" s="1">
        <v>17.573507490636704</v>
      </c>
    </row>
    <row r="132" spans="1:5" x14ac:dyDescent="0.3">
      <c r="A132" s="4">
        <v>2022</v>
      </c>
      <c r="B132" s="1" t="s">
        <v>20</v>
      </c>
      <c r="C132" s="10">
        <v>320686.04697774135</v>
      </c>
      <c r="D132" s="10">
        <v>157</v>
      </c>
      <c r="E132" s="1">
        <v>48.95754008620689</v>
      </c>
    </row>
    <row r="133" spans="1:5" x14ac:dyDescent="0.3">
      <c r="A133" s="4">
        <v>2022</v>
      </c>
      <c r="B133" s="1" t="s">
        <v>21</v>
      </c>
      <c r="C133" s="10">
        <v>340774.78094076843</v>
      </c>
      <c r="D133" s="10">
        <v>221</v>
      </c>
      <c r="E133" s="1">
        <v>64.852216877637133</v>
      </c>
    </row>
    <row r="134" spans="1:5" x14ac:dyDescent="0.3">
      <c r="A134" s="4">
        <v>2022</v>
      </c>
      <c r="B134" s="1" t="s">
        <v>22</v>
      </c>
      <c r="C134" s="10">
        <v>297486.87339171162</v>
      </c>
      <c r="D134" s="10">
        <v>240</v>
      </c>
      <c r="E134" s="1">
        <v>80.675828571428568</v>
      </c>
    </row>
    <row r="135" spans="1:5" s="8" customFormat="1" x14ac:dyDescent="0.3">
      <c r="A135" s="4">
        <v>2023</v>
      </c>
      <c r="B135" s="5" t="s">
        <v>14</v>
      </c>
      <c r="C135" s="6">
        <v>2898459.4058158216</v>
      </c>
      <c r="D135" s="5">
        <v>568</v>
      </c>
      <c r="E135" s="5">
        <v>19.596617391304349</v>
      </c>
    </row>
    <row r="136" spans="1:5" x14ac:dyDescent="0.3">
      <c r="A136" s="4">
        <v>2023</v>
      </c>
      <c r="B136" s="1" t="s">
        <v>16</v>
      </c>
      <c r="C136" s="10">
        <v>822174.67139675654</v>
      </c>
      <c r="D136" s="1">
        <v>58</v>
      </c>
      <c r="E136" s="1">
        <v>7.0544620283018862</v>
      </c>
    </row>
    <row r="137" spans="1:5" x14ac:dyDescent="0.3">
      <c r="A137" s="4">
        <v>2023</v>
      </c>
      <c r="B137" s="1" t="s">
        <v>18</v>
      </c>
      <c r="C137" s="10">
        <v>458547.05251245573</v>
      </c>
      <c r="D137" s="1">
        <v>47</v>
      </c>
      <c r="E137" s="1">
        <v>10.249766025641026</v>
      </c>
    </row>
    <row r="138" spans="1:5" x14ac:dyDescent="0.3">
      <c r="A138" s="4">
        <v>2023</v>
      </c>
      <c r="B138" s="1" t="s">
        <v>19</v>
      </c>
      <c r="C138" s="10">
        <v>661761.11481921631</v>
      </c>
      <c r="D138" s="1">
        <v>73</v>
      </c>
      <c r="E138" s="1">
        <v>11.031170971709717</v>
      </c>
    </row>
    <row r="139" spans="1:5" x14ac:dyDescent="0.3">
      <c r="A139" s="4">
        <v>2023</v>
      </c>
      <c r="B139" s="1" t="s">
        <v>20</v>
      </c>
      <c r="C139" s="10">
        <v>318191.87112515786</v>
      </c>
      <c r="D139" s="1">
        <v>66</v>
      </c>
      <c r="E139" s="1">
        <v>20.742201793721971</v>
      </c>
    </row>
    <row r="140" spans="1:5" x14ac:dyDescent="0.3">
      <c r="A140" s="4">
        <v>2023</v>
      </c>
      <c r="B140" s="1" t="s">
        <v>21</v>
      </c>
      <c r="C140" s="10">
        <v>338371.12608953106</v>
      </c>
      <c r="D140" s="1">
        <v>123</v>
      </c>
      <c r="E140" s="1">
        <v>36.350619339622639</v>
      </c>
    </row>
    <row r="141" spans="1:5" x14ac:dyDescent="0.3">
      <c r="A141" s="4">
        <v>2023</v>
      </c>
      <c r="B141" s="1" t="s">
        <v>22</v>
      </c>
      <c r="C141" s="10">
        <v>299411.88596092217</v>
      </c>
      <c r="D141" s="1">
        <v>201</v>
      </c>
      <c r="E141" s="1">
        <v>67.131603461538461</v>
      </c>
    </row>
    <row r="142" spans="1:5" s="8" customFormat="1" x14ac:dyDescent="0.3">
      <c r="A142" s="4">
        <v>2024</v>
      </c>
      <c r="B142" s="5" t="s">
        <v>14</v>
      </c>
      <c r="C142" s="6">
        <v>2908116.1591526722</v>
      </c>
      <c r="D142" s="5">
        <v>314</v>
      </c>
      <c r="E142" s="5">
        <v>10.797367877199552</v>
      </c>
    </row>
    <row r="143" spans="1:5" x14ac:dyDescent="0.3">
      <c r="A143" s="4">
        <v>2024</v>
      </c>
      <c r="B143" s="1" t="s">
        <v>16</v>
      </c>
      <c r="C143" s="10">
        <v>813833.22502797272</v>
      </c>
      <c r="D143" s="1">
        <v>39</v>
      </c>
      <c r="E143" s="1">
        <v>4.7921366197183106</v>
      </c>
    </row>
    <row r="144" spans="1:5" x14ac:dyDescent="0.3">
      <c r="A144" s="4">
        <v>2024</v>
      </c>
      <c r="B144" s="1" t="s">
        <v>18</v>
      </c>
      <c r="C144" s="10">
        <v>456104.72823988914</v>
      </c>
      <c r="D144" s="1">
        <v>25</v>
      </c>
      <c r="E144" s="1">
        <v>5.4811972891566256</v>
      </c>
    </row>
    <row r="145" spans="1:5" x14ac:dyDescent="0.3">
      <c r="A145" s="4">
        <v>2024</v>
      </c>
      <c r="B145" s="1" t="s">
        <v>19</v>
      </c>
      <c r="C145" s="10">
        <v>664143.1156119901</v>
      </c>
      <c r="D145" s="1">
        <v>45</v>
      </c>
      <c r="E145" s="1">
        <v>6.7756480406386066</v>
      </c>
    </row>
    <row r="146" spans="1:5" x14ac:dyDescent="0.3">
      <c r="A146" s="4">
        <v>2024</v>
      </c>
      <c r="B146" s="1" t="s">
        <v>20</v>
      </c>
      <c r="C146" s="10">
        <v>325492.84529877786</v>
      </c>
      <c r="D146" s="1">
        <v>49</v>
      </c>
      <c r="E146" s="1">
        <v>15.054094339622644</v>
      </c>
    </row>
    <row r="147" spans="1:5" x14ac:dyDescent="0.3">
      <c r="A147" s="4">
        <v>2024</v>
      </c>
      <c r="B147" s="1" t="s">
        <v>21</v>
      </c>
      <c r="C147" s="10">
        <v>350398.94044503878</v>
      </c>
      <c r="D147" s="1">
        <v>64</v>
      </c>
      <c r="E147" s="1">
        <v>18.264895412844037</v>
      </c>
    </row>
    <row r="148" spans="1:5" x14ac:dyDescent="0.3">
      <c r="A148" s="4">
        <v>2024</v>
      </c>
      <c r="B148" s="1" t="s">
        <v>22</v>
      </c>
      <c r="C148" s="10">
        <v>298141.98890032037</v>
      </c>
      <c r="D148" s="1">
        <v>92</v>
      </c>
      <c r="E148" s="1">
        <v>30.857780327868856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BFFD-BAD0-49E6-A8A0-A6A60D74CAA8}">
  <dimension ref="A1:D7"/>
  <sheetViews>
    <sheetView workbookViewId="0">
      <selection activeCell="G14" sqref="G14"/>
    </sheetView>
  </sheetViews>
  <sheetFormatPr defaultRowHeight="14" x14ac:dyDescent="0.3"/>
  <cols>
    <col min="3" max="3" width="11.25" bestFit="1" customWidth="1"/>
    <col min="4" max="4" width="14.33203125" customWidth="1"/>
  </cols>
  <sheetData>
    <row r="1" spans="1:4" x14ac:dyDescent="0.3">
      <c r="A1" t="s">
        <v>25</v>
      </c>
      <c r="B1" t="s">
        <v>10</v>
      </c>
      <c r="C1" t="s">
        <v>17</v>
      </c>
      <c r="D1" t="s">
        <v>24</v>
      </c>
    </row>
    <row r="2" spans="1:4" x14ac:dyDescent="0.3">
      <c r="A2" t="s">
        <v>16</v>
      </c>
      <c r="B2">
        <v>669</v>
      </c>
      <c r="C2">
        <v>13577403.315606384</v>
      </c>
      <c r="D2">
        <v>4.9273044664661763</v>
      </c>
    </row>
    <row r="3" spans="1:4" x14ac:dyDescent="0.3">
      <c r="A3" t="s">
        <v>18</v>
      </c>
      <c r="B3">
        <v>709</v>
      </c>
      <c r="C3">
        <v>6916932.7975647449</v>
      </c>
      <c r="D3">
        <v>10.250208014882242</v>
      </c>
    </row>
    <row r="4" spans="1:4" x14ac:dyDescent="0.3">
      <c r="A4" t="s">
        <v>19</v>
      </c>
      <c r="B4">
        <v>678</v>
      </c>
      <c r="C4">
        <v>6896168.4397402648</v>
      </c>
      <c r="D4">
        <v>9.8315464003593274</v>
      </c>
    </row>
    <row r="5" spans="1:4" x14ac:dyDescent="0.3">
      <c r="A5" t="s">
        <v>20</v>
      </c>
      <c r="B5">
        <v>976</v>
      </c>
      <c r="C5">
        <v>5096960.852353638</v>
      </c>
      <c r="D5">
        <v>19.14866580835734</v>
      </c>
    </row>
    <row r="6" spans="1:4" x14ac:dyDescent="0.3">
      <c r="A6" t="s">
        <v>21</v>
      </c>
      <c r="B6">
        <v>1140</v>
      </c>
      <c r="C6">
        <v>5139289.6683317265</v>
      </c>
      <c r="D6">
        <v>22.182053816204863</v>
      </c>
    </row>
    <row r="7" spans="1:4" x14ac:dyDescent="0.3">
      <c r="A7" t="s">
        <v>22</v>
      </c>
      <c r="B7">
        <v>1540</v>
      </c>
      <c r="C7">
        <v>5908337.6119129257</v>
      </c>
      <c r="D7">
        <v>26.064861237700981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6"/>
  <sheetViews>
    <sheetView workbookViewId="0">
      <pane xSplit="2" ySplit="1" topLeftCell="C72" activePane="bottomRight" state="frozen"/>
      <selection pane="topRight" activeCell="C1" sqref="C1"/>
      <selection pane="bottomLeft" activeCell="A2" sqref="A2"/>
      <selection pane="bottomRight" activeCell="M86" sqref="M86:P92"/>
    </sheetView>
  </sheetViews>
  <sheetFormatPr defaultColWidth="8.83203125" defaultRowHeight="14" x14ac:dyDescent="0.3"/>
  <cols>
    <col min="1" max="3" width="8.83203125" style="12"/>
    <col min="4" max="5" width="16.9140625" style="12" customWidth="1"/>
    <col min="6" max="6" width="16.9140625" style="11" customWidth="1"/>
    <col min="7" max="7" width="8.83203125" style="12"/>
    <col min="8" max="8" width="28.5" style="12" customWidth="1"/>
    <col min="9" max="9" width="13.83203125" style="12" customWidth="1"/>
    <col min="10" max="10" width="12.83203125" style="12" bestFit="1" customWidth="1"/>
    <col min="11" max="11" width="8.83203125" style="12"/>
    <col min="12" max="12" width="12.83203125" style="12" bestFit="1" customWidth="1"/>
    <col min="13" max="14" width="8.83203125" style="12"/>
    <col min="15" max="16" width="12.83203125" style="12" bestFit="1" customWidth="1"/>
    <col min="17" max="259" width="8.83203125" style="12"/>
    <col min="260" max="260" width="13.4140625" style="12" customWidth="1"/>
    <col min="261" max="261" width="0.6640625" style="12" customWidth="1"/>
    <col min="262" max="263" width="8.83203125" style="12"/>
    <col min="264" max="264" width="28.5" style="12" customWidth="1"/>
    <col min="265" max="265" width="15.33203125" style="12" customWidth="1"/>
    <col min="266" max="266" width="12.83203125" style="12" bestFit="1" customWidth="1"/>
    <col min="267" max="267" width="8.83203125" style="12"/>
    <col min="268" max="268" width="12.83203125" style="12" bestFit="1" customWidth="1"/>
    <col min="269" max="270" width="8.83203125" style="12"/>
    <col min="271" max="272" width="12.83203125" style="12" bestFit="1" customWidth="1"/>
    <col min="273" max="515" width="8.83203125" style="12"/>
    <col min="516" max="516" width="13.4140625" style="12" customWidth="1"/>
    <col min="517" max="517" width="0.6640625" style="12" customWidth="1"/>
    <col min="518" max="519" width="8.83203125" style="12"/>
    <col min="520" max="520" width="28.5" style="12" customWidth="1"/>
    <col min="521" max="521" width="15.33203125" style="12" customWidth="1"/>
    <col min="522" max="522" width="12.83203125" style="12" bestFit="1" customWidth="1"/>
    <col min="523" max="523" width="8.83203125" style="12"/>
    <col min="524" max="524" width="12.83203125" style="12" bestFit="1" customWidth="1"/>
    <col min="525" max="526" width="8.83203125" style="12"/>
    <col min="527" max="528" width="12.83203125" style="12" bestFit="1" customWidth="1"/>
    <col min="529" max="771" width="8.83203125" style="12"/>
    <col min="772" max="772" width="13.4140625" style="12" customWidth="1"/>
    <col min="773" max="773" width="0.6640625" style="12" customWidth="1"/>
    <col min="774" max="775" width="8.83203125" style="12"/>
    <col min="776" max="776" width="28.5" style="12" customWidth="1"/>
    <col min="777" max="777" width="15.33203125" style="12" customWidth="1"/>
    <col min="778" max="778" width="12.83203125" style="12" bestFit="1" customWidth="1"/>
    <col min="779" max="779" width="8.83203125" style="12"/>
    <col min="780" max="780" width="12.83203125" style="12" bestFit="1" customWidth="1"/>
    <col min="781" max="782" width="8.83203125" style="12"/>
    <col min="783" max="784" width="12.83203125" style="12" bestFit="1" customWidth="1"/>
    <col min="785" max="1027" width="8.83203125" style="12"/>
    <col min="1028" max="1028" width="13.4140625" style="12" customWidth="1"/>
    <col min="1029" max="1029" width="0.6640625" style="12" customWidth="1"/>
    <col min="1030" max="1031" width="8.83203125" style="12"/>
    <col min="1032" max="1032" width="28.5" style="12" customWidth="1"/>
    <col min="1033" max="1033" width="15.33203125" style="12" customWidth="1"/>
    <col min="1034" max="1034" width="12.83203125" style="12" bestFit="1" customWidth="1"/>
    <col min="1035" max="1035" width="8.83203125" style="12"/>
    <col min="1036" max="1036" width="12.83203125" style="12" bestFit="1" customWidth="1"/>
    <col min="1037" max="1038" width="8.83203125" style="12"/>
    <col min="1039" max="1040" width="12.83203125" style="12" bestFit="1" customWidth="1"/>
    <col min="1041" max="1283" width="8.83203125" style="12"/>
    <col min="1284" max="1284" width="13.4140625" style="12" customWidth="1"/>
    <col min="1285" max="1285" width="0.6640625" style="12" customWidth="1"/>
    <col min="1286" max="1287" width="8.83203125" style="12"/>
    <col min="1288" max="1288" width="28.5" style="12" customWidth="1"/>
    <col min="1289" max="1289" width="15.33203125" style="12" customWidth="1"/>
    <col min="1290" max="1290" width="12.83203125" style="12" bestFit="1" customWidth="1"/>
    <col min="1291" max="1291" width="8.83203125" style="12"/>
    <col min="1292" max="1292" width="12.83203125" style="12" bestFit="1" customWidth="1"/>
    <col min="1293" max="1294" width="8.83203125" style="12"/>
    <col min="1295" max="1296" width="12.83203125" style="12" bestFit="1" customWidth="1"/>
    <col min="1297" max="1539" width="8.83203125" style="12"/>
    <col min="1540" max="1540" width="13.4140625" style="12" customWidth="1"/>
    <col min="1541" max="1541" width="0.6640625" style="12" customWidth="1"/>
    <col min="1542" max="1543" width="8.83203125" style="12"/>
    <col min="1544" max="1544" width="28.5" style="12" customWidth="1"/>
    <col min="1545" max="1545" width="15.33203125" style="12" customWidth="1"/>
    <col min="1546" max="1546" width="12.83203125" style="12" bestFit="1" customWidth="1"/>
    <col min="1547" max="1547" width="8.83203125" style="12"/>
    <col min="1548" max="1548" width="12.83203125" style="12" bestFit="1" customWidth="1"/>
    <col min="1549" max="1550" width="8.83203125" style="12"/>
    <col min="1551" max="1552" width="12.83203125" style="12" bestFit="1" customWidth="1"/>
    <col min="1553" max="1795" width="8.83203125" style="12"/>
    <col min="1796" max="1796" width="13.4140625" style="12" customWidth="1"/>
    <col min="1797" max="1797" width="0.6640625" style="12" customWidth="1"/>
    <col min="1798" max="1799" width="8.83203125" style="12"/>
    <col min="1800" max="1800" width="28.5" style="12" customWidth="1"/>
    <col min="1801" max="1801" width="15.33203125" style="12" customWidth="1"/>
    <col min="1802" max="1802" width="12.83203125" style="12" bestFit="1" customWidth="1"/>
    <col min="1803" max="1803" width="8.83203125" style="12"/>
    <col min="1804" max="1804" width="12.83203125" style="12" bestFit="1" customWidth="1"/>
    <col min="1805" max="1806" width="8.83203125" style="12"/>
    <col min="1807" max="1808" width="12.83203125" style="12" bestFit="1" customWidth="1"/>
    <col min="1809" max="2051" width="8.83203125" style="12"/>
    <col min="2052" max="2052" width="13.4140625" style="12" customWidth="1"/>
    <col min="2053" max="2053" width="0.6640625" style="12" customWidth="1"/>
    <col min="2054" max="2055" width="8.83203125" style="12"/>
    <col min="2056" max="2056" width="28.5" style="12" customWidth="1"/>
    <col min="2057" max="2057" width="15.33203125" style="12" customWidth="1"/>
    <col min="2058" max="2058" width="12.83203125" style="12" bestFit="1" customWidth="1"/>
    <col min="2059" max="2059" width="8.83203125" style="12"/>
    <col min="2060" max="2060" width="12.83203125" style="12" bestFit="1" customWidth="1"/>
    <col min="2061" max="2062" width="8.83203125" style="12"/>
    <col min="2063" max="2064" width="12.83203125" style="12" bestFit="1" customWidth="1"/>
    <col min="2065" max="2307" width="8.83203125" style="12"/>
    <col min="2308" max="2308" width="13.4140625" style="12" customWidth="1"/>
    <col min="2309" max="2309" width="0.6640625" style="12" customWidth="1"/>
    <col min="2310" max="2311" width="8.83203125" style="12"/>
    <col min="2312" max="2312" width="28.5" style="12" customWidth="1"/>
    <col min="2313" max="2313" width="15.33203125" style="12" customWidth="1"/>
    <col min="2314" max="2314" width="12.83203125" style="12" bestFit="1" customWidth="1"/>
    <col min="2315" max="2315" width="8.83203125" style="12"/>
    <col min="2316" max="2316" width="12.83203125" style="12" bestFit="1" customWidth="1"/>
    <col min="2317" max="2318" width="8.83203125" style="12"/>
    <col min="2319" max="2320" width="12.83203125" style="12" bestFit="1" customWidth="1"/>
    <col min="2321" max="2563" width="8.83203125" style="12"/>
    <col min="2564" max="2564" width="13.4140625" style="12" customWidth="1"/>
    <col min="2565" max="2565" width="0.6640625" style="12" customWidth="1"/>
    <col min="2566" max="2567" width="8.83203125" style="12"/>
    <col min="2568" max="2568" width="28.5" style="12" customWidth="1"/>
    <col min="2569" max="2569" width="15.33203125" style="12" customWidth="1"/>
    <col min="2570" max="2570" width="12.83203125" style="12" bestFit="1" customWidth="1"/>
    <col min="2571" max="2571" width="8.83203125" style="12"/>
    <col min="2572" max="2572" width="12.83203125" style="12" bestFit="1" customWidth="1"/>
    <col min="2573" max="2574" width="8.83203125" style="12"/>
    <col min="2575" max="2576" width="12.83203125" style="12" bestFit="1" customWidth="1"/>
    <col min="2577" max="2819" width="8.83203125" style="12"/>
    <col min="2820" max="2820" width="13.4140625" style="12" customWidth="1"/>
    <col min="2821" max="2821" width="0.6640625" style="12" customWidth="1"/>
    <col min="2822" max="2823" width="8.83203125" style="12"/>
    <col min="2824" max="2824" width="28.5" style="12" customWidth="1"/>
    <col min="2825" max="2825" width="15.33203125" style="12" customWidth="1"/>
    <col min="2826" max="2826" width="12.83203125" style="12" bestFit="1" customWidth="1"/>
    <col min="2827" max="2827" width="8.83203125" style="12"/>
    <col min="2828" max="2828" width="12.83203125" style="12" bestFit="1" customWidth="1"/>
    <col min="2829" max="2830" width="8.83203125" style="12"/>
    <col min="2831" max="2832" width="12.83203125" style="12" bestFit="1" customWidth="1"/>
    <col min="2833" max="3075" width="8.83203125" style="12"/>
    <col min="3076" max="3076" width="13.4140625" style="12" customWidth="1"/>
    <col min="3077" max="3077" width="0.6640625" style="12" customWidth="1"/>
    <col min="3078" max="3079" width="8.83203125" style="12"/>
    <col min="3080" max="3080" width="28.5" style="12" customWidth="1"/>
    <col min="3081" max="3081" width="15.33203125" style="12" customWidth="1"/>
    <col min="3082" max="3082" width="12.83203125" style="12" bestFit="1" customWidth="1"/>
    <col min="3083" max="3083" width="8.83203125" style="12"/>
    <col min="3084" max="3084" width="12.83203125" style="12" bestFit="1" customWidth="1"/>
    <col min="3085" max="3086" width="8.83203125" style="12"/>
    <col min="3087" max="3088" width="12.83203125" style="12" bestFit="1" customWidth="1"/>
    <col min="3089" max="3331" width="8.83203125" style="12"/>
    <col min="3332" max="3332" width="13.4140625" style="12" customWidth="1"/>
    <col min="3333" max="3333" width="0.6640625" style="12" customWidth="1"/>
    <col min="3334" max="3335" width="8.83203125" style="12"/>
    <col min="3336" max="3336" width="28.5" style="12" customWidth="1"/>
    <col min="3337" max="3337" width="15.33203125" style="12" customWidth="1"/>
    <col min="3338" max="3338" width="12.83203125" style="12" bestFit="1" customWidth="1"/>
    <col min="3339" max="3339" width="8.83203125" style="12"/>
    <col min="3340" max="3340" width="12.83203125" style="12" bestFit="1" customWidth="1"/>
    <col min="3341" max="3342" width="8.83203125" style="12"/>
    <col min="3343" max="3344" width="12.83203125" style="12" bestFit="1" customWidth="1"/>
    <col min="3345" max="3587" width="8.83203125" style="12"/>
    <col min="3588" max="3588" width="13.4140625" style="12" customWidth="1"/>
    <col min="3589" max="3589" width="0.6640625" style="12" customWidth="1"/>
    <col min="3590" max="3591" width="8.83203125" style="12"/>
    <col min="3592" max="3592" width="28.5" style="12" customWidth="1"/>
    <col min="3593" max="3593" width="15.33203125" style="12" customWidth="1"/>
    <col min="3594" max="3594" width="12.83203125" style="12" bestFit="1" customWidth="1"/>
    <col min="3595" max="3595" width="8.83203125" style="12"/>
    <col min="3596" max="3596" width="12.83203125" style="12" bestFit="1" customWidth="1"/>
    <col min="3597" max="3598" width="8.83203125" style="12"/>
    <col min="3599" max="3600" width="12.83203125" style="12" bestFit="1" customWidth="1"/>
    <col min="3601" max="3843" width="8.83203125" style="12"/>
    <col min="3844" max="3844" width="13.4140625" style="12" customWidth="1"/>
    <col min="3845" max="3845" width="0.6640625" style="12" customWidth="1"/>
    <col min="3846" max="3847" width="8.83203125" style="12"/>
    <col min="3848" max="3848" width="28.5" style="12" customWidth="1"/>
    <col min="3849" max="3849" width="15.33203125" style="12" customWidth="1"/>
    <col min="3850" max="3850" width="12.83203125" style="12" bestFit="1" customWidth="1"/>
    <col min="3851" max="3851" width="8.83203125" style="12"/>
    <col min="3852" max="3852" width="12.83203125" style="12" bestFit="1" customWidth="1"/>
    <col min="3853" max="3854" width="8.83203125" style="12"/>
    <col min="3855" max="3856" width="12.83203125" style="12" bestFit="1" customWidth="1"/>
    <col min="3857" max="4099" width="8.83203125" style="12"/>
    <col min="4100" max="4100" width="13.4140625" style="12" customWidth="1"/>
    <col min="4101" max="4101" width="0.6640625" style="12" customWidth="1"/>
    <col min="4102" max="4103" width="8.83203125" style="12"/>
    <col min="4104" max="4104" width="28.5" style="12" customWidth="1"/>
    <col min="4105" max="4105" width="15.33203125" style="12" customWidth="1"/>
    <col min="4106" max="4106" width="12.83203125" style="12" bestFit="1" customWidth="1"/>
    <col min="4107" max="4107" width="8.83203125" style="12"/>
    <col min="4108" max="4108" width="12.83203125" style="12" bestFit="1" customWidth="1"/>
    <col min="4109" max="4110" width="8.83203125" style="12"/>
    <col min="4111" max="4112" width="12.83203125" style="12" bestFit="1" customWidth="1"/>
    <col min="4113" max="4355" width="8.83203125" style="12"/>
    <col min="4356" max="4356" width="13.4140625" style="12" customWidth="1"/>
    <col min="4357" max="4357" width="0.6640625" style="12" customWidth="1"/>
    <col min="4358" max="4359" width="8.83203125" style="12"/>
    <col min="4360" max="4360" width="28.5" style="12" customWidth="1"/>
    <col min="4361" max="4361" width="15.33203125" style="12" customWidth="1"/>
    <col min="4362" max="4362" width="12.83203125" style="12" bestFit="1" customWidth="1"/>
    <col min="4363" max="4363" width="8.83203125" style="12"/>
    <col min="4364" max="4364" width="12.83203125" style="12" bestFit="1" customWidth="1"/>
    <col min="4365" max="4366" width="8.83203125" style="12"/>
    <col min="4367" max="4368" width="12.83203125" style="12" bestFit="1" customWidth="1"/>
    <col min="4369" max="4611" width="8.83203125" style="12"/>
    <col min="4612" max="4612" width="13.4140625" style="12" customWidth="1"/>
    <col min="4613" max="4613" width="0.6640625" style="12" customWidth="1"/>
    <col min="4614" max="4615" width="8.83203125" style="12"/>
    <col min="4616" max="4616" width="28.5" style="12" customWidth="1"/>
    <col min="4617" max="4617" width="15.33203125" style="12" customWidth="1"/>
    <col min="4618" max="4618" width="12.83203125" style="12" bestFit="1" customWidth="1"/>
    <col min="4619" max="4619" width="8.83203125" style="12"/>
    <col min="4620" max="4620" width="12.83203125" style="12" bestFit="1" customWidth="1"/>
    <col min="4621" max="4622" width="8.83203125" style="12"/>
    <col min="4623" max="4624" width="12.83203125" style="12" bestFit="1" customWidth="1"/>
    <col min="4625" max="4867" width="8.83203125" style="12"/>
    <col min="4868" max="4868" width="13.4140625" style="12" customWidth="1"/>
    <col min="4869" max="4869" width="0.6640625" style="12" customWidth="1"/>
    <col min="4870" max="4871" width="8.83203125" style="12"/>
    <col min="4872" max="4872" width="28.5" style="12" customWidth="1"/>
    <col min="4873" max="4873" width="15.33203125" style="12" customWidth="1"/>
    <col min="4874" max="4874" width="12.83203125" style="12" bestFit="1" customWidth="1"/>
    <col min="4875" max="4875" width="8.83203125" style="12"/>
    <col min="4876" max="4876" width="12.83203125" style="12" bestFit="1" customWidth="1"/>
    <col min="4877" max="4878" width="8.83203125" style="12"/>
    <col min="4879" max="4880" width="12.83203125" style="12" bestFit="1" customWidth="1"/>
    <col min="4881" max="5123" width="8.83203125" style="12"/>
    <col min="5124" max="5124" width="13.4140625" style="12" customWidth="1"/>
    <col min="5125" max="5125" width="0.6640625" style="12" customWidth="1"/>
    <col min="5126" max="5127" width="8.83203125" style="12"/>
    <col min="5128" max="5128" width="28.5" style="12" customWidth="1"/>
    <col min="5129" max="5129" width="15.33203125" style="12" customWidth="1"/>
    <col min="5130" max="5130" width="12.83203125" style="12" bestFit="1" customWidth="1"/>
    <col min="5131" max="5131" width="8.83203125" style="12"/>
    <col min="5132" max="5132" width="12.83203125" style="12" bestFit="1" customWidth="1"/>
    <col min="5133" max="5134" width="8.83203125" style="12"/>
    <col min="5135" max="5136" width="12.83203125" style="12" bestFit="1" customWidth="1"/>
    <col min="5137" max="5379" width="8.83203125" style="12"/>
    <col min="5380" max="5380" width="13.4140625" style="12" customWidth="1"/>
    <col min="5381" max="5381" width="0.6640625" style="12" customWidth="1"/>
    <col min="5382" max="5383" width="8.83203125" style="12"/>
    <col min="5384" max="5384" width="28.5" style="12" customWidth="1"/>
    <col min="5385" max="5385" width="15.33203125" style="12" customWidth="1"/>
    <col min="5386" max="5386" width="12.83203125" style="12" bestFit="1" customWidth="1"/>
    <col min="5387" max="5387" width="8.83203125" style="12"/>
    <col min="5388" max="5388" width="12.83203125" style="12" bestFit="1" customWidth="1"/>
    <col min="5389" max="5390" width="8.83203125" style="12"/>
    <col min="5391" max="5392" width="12.83203125" style="12" bestFit="1" customWidth="1"/>
    <col min="5393" max="5635" width="8.83203125" style="12"/>
    <col min="5636" max="5636" width="13.4140625" style="12" customWidth="1"/>
    <col min="5637" max="5637" width="0.6640625" style="12" customWidth="1"/>
    <col min="5638" max="5639" width="8.83203125" style="12"/>
    <col min="5640" max="5640" width="28.5" style="12" customWidth="1"/>
    <col min="5641" max="5641" width="15.33203125" style="12" customWidth="1"/>
    <col min="5642" max="5642" width="12.83203125" style="12" bestFit="1" customWidth="1"/>
    <col min="5643" max="5643" width="8.83203125" style="12"/>
    <col min="5644" max="5644" width="12.83203125" style="12" bestFit="1" customWidth="1"/>
    <col min="5645" max="5646" width="8.83203125" style="12"/>
    <col min="5647" max="5648" width="12.83203125" style="12" bestFit="1" customWidth="1"/>
    <col min="5649" max="5891" width="8.83203125" style="12"/>
    <col min="5892" max="5892" width="13.4140625" style="12" customWidth="1"/>
    <col min="5893" max="5893" width="0.6640625" style="12" customWidth="1"/>
    <col min="5894" max="5895" width="8.83203125" style="12"/>
    <col min="5896" max="5896" width="28.5" style="12" customWidth="1"/>
    <col min="5897" max="5897" width="15.33203125" style="12" customWidth="1"/>
    <col min="5898" max="5898" width="12.83203125" style="12" bestFit="1" customWidth="1"/>
    <col min="5899" max="5899" width="8.83203125" style="12"/>
    <col min="5900" max="5900" width="12.83203125" style="12" bestFit="1" customWidth="1"/>
    <col min="5901" max="5902" width="8.83203125" style="12"/>
    <col min="5903" max="5904" width="12.83203125" style="12" bestFit="1" customWidth="1"/>
    <col min="5905" max="6147" width="8.83203125" style="12"/>
    <col min="6148" max="6148" width="13.4140625" style="12" customWidth="1"/>
    <col min="6149" max="6149" width="0.6640625" style="12" customWidth="1"/>
    <col min="6150" max="6151" width="8.83203125" style="12"/>
    <col min="6152" max="6152" width="28.5" style="12" customWidth="1"/>
    <col min="6153" max="6153" width="15.33203125" style="12" customWidth="1"/>
    <col min="6154" max="6154" width="12.83203125" style="12" bestFit="1" customWidth="1"/>
    <col min="6155" max="6155" width="8.83203125" style="12"/>
    <col min="6156" max="6156" width="12.83203125" style="12" bestFit="1" customWidth="1"/>
    <col min="6157" max="6158" width="8.83203125" style="12"/>
    <col min="6159" max="6160" width="12.83203125" style="12" bestFit="1" customWidth="1"/>
    <col min="6161" max="6403" width="8.83203125" style="12"/>
    <col min="6404" max="6404" width="13.4140625" style="12" customWidth="1"/>
    <col min="6405" max="6405" width="0.6640625" style="12" customWidth="1"/>
    <col min="6406" max="6407" width="8.83203125" style="12"/>
    <col min="6408" max="6408" width="28.5" style="12" customWidth="1"/>
    <col min="6409" max="6409" width="15.33203125" style="12" customWidth="1"/>
    <col min="6410" max="6410" width="12.83203125" style="12" bestFit="1" customWidth="1"/>
    <col min="6411" max="6411" width="8.83203125" style="12"/>
    <col min="6412" max="6412" width="12.83203125" style="12" bestFit="1" customWidth="1"/>
    <col min="6413" max="6414" width="8.83203125" style="12"/>
    <col min="6415" max="6416" width="12.83203125" style="12" bestFit="1" customWidth="1"/>
    <col min="6417" max="6659" width="8.83203125" style="12"/>
    <col min="6660" max="6660" width="13.4140625" style="12" customWidth="1"/>
    <col min="6661" max="6661" width="0.6640625" style="12" customWidth="1"/>
    <col min="6662" max="6663" width="8.83203125" style="12"/>
    <col min="6664" max="6664" width="28.5" style="12" customWidth="1"/>
    <col min="6665" max="6665" width="15.33203125" style="12" customWidth="1"/>
    <col min="6666" max="6666" width="12.83203125" style="12" bestFit="1" customWidth="1"/>
    <col min="6667" max="6667" width="8.83203125" style="12"/>
    <col min="6668" max="6668" width="12.83203125" style="12" bestFit="1" customWidth="1"/>
    <col min="6669" max="6670" width="8.83203125" style="12"/>
    <col min="6671" max="6672" width="12.83203125" style="12" bestFit="1" customWidth="1"/>
    <col min="6673" max="6915" width="8.83203125" style="12"/>
    <col min="6916" max="6916" width="13.4140625" style="12" customWidth="1"/>
    <col min="6917" max="6917" width="0.6640625" style="12" customWidth="1"/>
    <col min="6918" max="6919" width="8.83203125" style="12"/>
    <col min="6920" max="6920" width="28.5" style="12" customWidth="1"/>
    <col min="6921" max="6921" width="15.33203125" style="12" customWidth="1"/>
    <col min="6922" max="6922" width="12.83203125" style="12" bestFit="1" customWidth="1"/>
    <col min="6923" max="6923" width="8.83203125" style="12"/>
    <col min="6924" max="6924" width="12.83203125" style="12" bestFit="1" customWidth="1"/>
    <col min="6925" max="6926" width="8.83203125" style="12"/>
    <col min="6927" max="6928" width="12.83203125" style="12" bestFit="1" customWidth="1"/>
    <col min="6929" max="7171" width="8.83203125" style="12"/>
    <col min="7172" max="7172" width="13.4140625" style="12" customWidth="1"/>
    <col min="7173" max="7173" width="0.6640625" style="12" customWidth="1"/>
    <col min="7174" max="7175" width="8.83203125" style="12"/>
    <col min="7176" max="7176" width="28.5" style="12" customWidth="1"/>
    <col min="7177" max="7177" width="15.33203125" style="12" customWidth="1"/>
    <col min="7178" max="7178" width="12.83203125" style="12" bestFit="1" customWidth="1"/>
    <col min="7179" max="7179" width="8.83203125" style="12"/>
    <col min="7180" max="7180" width="12.83203125" style="12" bestFit="1" customWidth="1"/>
    <col min="7181" max="7182" width="8.83203125" style="12"/>
    <col min="7183" max="7184" width="12.83203125" style="12" bestFit="1" customWidth="1"/>
    <col min="7185" max="7427" width="8.83203125" style="12"/>
    <col min="7428" max="7428" width="13.4140625" style="12" customWidth="1"/>
    <col min="7429" max="7429" width="0.6640625" style="12" customWidth="1"/>
    <col min="7430" max="7431" width="8.83203125" style="12"/>
    <col min="7432" max="7432" width="28.5" style="12" customWidth="1"/>
    <col min="7433" max="7433" width="15.33203125" style="12" customWidth="1"/>
    <col min="7434" max="7434" width="12.83203125" style="12" bestFit="1" customWidth="1"/>
    <col min="7435" max="7435" width="8.83203125" style="12"/>
    <col min="7436" max="7436" width="12.83203125" style="12" bestFit="1" customWidth="1"/>
    <col min="7437" max="7438" width="8.83203125" style="12"/>
    <col min="7439" max="7440" width="12.83203125" style="12" bestFit="1" customWidth="1"/>
    <col min="7441" max="7683" width="8.83203125" style="12"/>
    <col min="7684" max="7684" width="13.4140625" style="12" customWidth="1"/>
    <col min="7685" max="7685" width="0.6640625" style="12" customWidth="1"/>
    <col min="7686" max="7687" width="8.83203125" style="12"/>
    <col min="7688" max="7688" width="28.5" style="12" customWidth="1"/>
    <col min="7689" max="7689" width="15.33203125" style="12" customWidth="1"/>
    <col min="7690" max="7690" width="12.83203125" style="12" bestFit="1" customWidth="1"/>
    <col min="7691" max="7691" width="8.83203125" style="12"/>
    <col min="7692" max="7692" width="12.83203125" style="12" bestFit="1" customWidth="1"/>
    <col min="7693" max="7694" width="8.83203125" style="12"/>
    <col min="7695" max="7696" width="12.83203125" style="12" bestFit="1" customWidth="1"/>
    <col min="7697" max="7939" width="8.83203125" style="12"/>
    <col min="7940" max="7940" width="13.4140625" style="12" customWidth="1"/>
    <col min="7941" max="7941" width="0.6640625" style="12" customWidth="1"/>
    <col min="7942" max="7943" width="8.83203125" style="12"/>
    <col min="7944" max="7944" width="28.5" style="12" customWidth="1"/>
    <col min="7945" max="7945" width="15.33203125" style="12" customWidth="1"/>
    <col min="7946" max="7946" width="12.83203125" style="12" bestFit="1" customWidth="1"/>
    <col min="7947" max="7947" width="8.83203125" style="12"/>
    <col min="7948" max="7948" width="12.83203125" style="12" bestFit="1" customWidth="1"/>
    <col min="7949" max="7950" width="8.83203125" style="12"/>
    <col min="7951" max="7952" width="12.83203125" style="12" bestFit="1" customWidth="1"/>
    <col min="7953" max="8195" width="8.83203125" style="12"/>
    <col min="8196" max="8196" width="13.4140625" style="12" customWidth="1"/>
    <col min="8197" max="8197" width="0.6640625" style="12" customWidth="1"/>
    <col min="8198" max="8199" width="8.83203125" style="12"/>
    <col min="8200" max="8200" width="28.5" style="12" customWidth="1"/>
    <col min="8201" max="8201" width="15.33203125" style="12" customWidth="1"/>
    <col min="8202" max="8202" width="12.83203125" style="12" bestFit="1" customWidth="1"/>
    <col min="8203" max="8203" width="8.83203125" style="12"/>
    <col min="8204" max="8204" width="12.83203125" style="12" bestFit="1" customWidth="1"/>
    <col min="8205" max="8206" width="8.83203125" style="12"/>
    <col min="8207" max="8208" width="12.83203125" style="12" bestFit="1" customWidth="1"/>
    <col min="8209" max="8451" width="8.83203125" style="12"/>
    <col min="8452" max="8452" width="13.4140625" style="12" customWidth="1"/>
    <col min="8453" max="8453" width="0.6640625" style="12" customWidth="1"/>
    <col min="8454" max="8455" width="8.83203125" style="12"/>
    <col min="8456" max="8456" width="28.5" style="12" customWidth="1"/>
    <col min="8457" max="8457" width="15.33203125" style="12" customWidth="1"/>
    <col min="8458" max="8458" width="12.83203125" style="12" bestFit="1" customWidth="1"/>
    <col min="8459" max="8459" width="8.83203125" style="12"/>
    <col min="8460" max="8460" width="12.83203125" style="12" bestFit="1" customWidth="1"/>
    <col min="8461" max="8462" width="8.83203125" style="12"/>
    <col min="8463" max="8464" width="12.83203125" style="12" bestFit="1" customWidth="1"/>
    <col min="8465" max="8707" width="8.83203125" style="12"/>
    <col min="8708" max="8708" width="13.4140625" style="12" customWidth="1"/>
    <col min="8709" max="8709" width="0.6640625" style="12" customWidth="1"/>
    <col min="8710" max="8711" width="8.83203125" style="12"/>
    <col min="8712" max="8712" width="28.5" style="12" customWidth="1"/>
    <col min="8713" max="8713" width="15.33203125" style="12" customWidth="1"/>
    <col min="8714" max="8714" width="12.83203125" style="12" bestFit="1" customWidth="1"/>
    <col min="8715" max="8715" width="8.83203125" style="12"/>
    <col min="8716" max="8716" width="12.83203125" style="12" bestFit="1" customWidth="1"/>
    <col min="8717" max="8718" width="8.83203125" style="12"/>
    <col min="8719" max="8720" width="12.83203125" style="12" bestFit="1" customWidth="1"/>
    <col min="8721" max="8963" width="8.83203125" style="12"/>
    <col min="8964" max="8964" width="13.4140625" style="12" customWidth="1"/>
    <col min="8965" max="8965" width="0.6640625" style="12" customWidth="1"/>
    <col min="8966" max="8967" width="8.83203125" style="12"/>
    <col min="8968" max="8968" width="28.5" style="12" customWidth="1"/>
    <col min="8969" max="8969" width="15.33203125" style="12" customWidth="1"/>
    <col min="8970" max="8970" width="12.83203125" style="12" bestFit="1" customWidth="1"/>
    <col min="8971" max="8971" width="8.83203125" style="12"/>
    <col min="8972" max="8972" width="12.83203125" style="12" bestFit="1" customWidth="1"/>
    <col min="8973" max="8974" width="8.83203125" style="12"/>
    <col min="8975" max="8976" width="12.83203125" style="12" bestFit="1" customWidth="1"/>
    <col min="8977" max="9219" width="8.83203125" style="12"/>
    <col min="9220" max="9220" width="13.4140625" style="12" customWidth="1"/>
    <col min="9221" max="9221" width="0.6640625" style="12" customWidth="1"/>
    <col min="9222" max="9223" width="8.83203125" style="12"/>
    <col min="9224" max="9224" width="28.5" style="12" customWidth="1"/>
    <col min="9225" max="9225" width="15.33203125" style="12" customWidth="1"/>
    <col min="9226" max="9226" width="12.83203125" style="12" bestFit="1" customWidth="1"/>
    <col min="9227" max="9227" width="8.83203125" style="12"/>
    <col min="9228" max="9228" width="12.83203125" style="12" bestFit="1" customWidth="1"/>
    <col min="9229" max="9230" width="8.83203125" style="12"/>
    <col min="9231" max="9232" width="12.83203125" style="12" bestFit="1" customWidth="1"/>
    <col min="9233" max="9475" width="8.83203125" style="12"/>
    <col min="9476" max="9476" width="13.4140625" style="12" customWidth="1"/>
    <col min="9477" max="9477" width="0.6640625" style="12" customWidth="1"/>
    <col min="9478" max="9479" width="8.83203125" style="12"/>
    <col min="9480" max="9480" width="28.5" style="12" customWidth="1"/>
    <col min="9481" max="9481" width="15.33203125" style="12" customWidth="1"/>
    <col min="9482" max="9482" width="12.83203125" style="12" bestFit="1" customWidth="1"/>
    <col min="9483" max="9483" width="8.83203125" style="12"/>
    <col min="9484" max="9484" width="12.83203125" style="12" bestFit="1" customWidth="1"/>
    <col min="9485" max="9486" width="8.83203125" style="12"/>
    <col min="9487" max="9488" width="12.83203125" style="12" bestFit="1" customWidth="1"/>
    <col min="9489" max="9731" width="8.83203125" style="12"/>
    <col min="9732" max="9732" width="13.4140625" style="12" customWidth="1"/>
    <col min="9733" max="9733" width="0.6640625" style="12" customWidth="1"/>
    <col min="9734" max="9735" width="8.83203125" style="12"/>
    <col min="9736" max="9736" width="28.5" style="12" customWidth="1"/>
    <col min="9737" max="9737" width="15.33203125" style="12" customWidth="1"/>
    <col min="9738" max="9738" width="12.83203125" style="12" bestFit="1" customWidth="1"/>
    <col min="9739" max="9739" width="8.83203125" style="12"/>
    <col min="9740" max="9740" width="12.83203125" style="12" bestFit="1" customWidth="1"/>
    <col min="9741" max="9742" width="8.83203125" style="12"/>
    <col min="9743" max="9744" width="12.83203125" style="12" bestFit="1" customWidth="1"/>
    <col min="9745" max="9987" width="8.83203125" style="12"/>
    <col min="9988" max="9988" width="13.4140625" style="12" customWidth="1"/>
    <col min="9989" max="9989" width="0.6640625" style="12" customWidth="1"/>
    <col min="9990" max="9991" width="8.83203125" style="12"/>
    <col min="9992" max="9992" width="28.5" style="12" customWidth="1"/>
    <col min="9993" max="9993" width="15.33203125" style="12" customWidth="1"/>
    <col min="9994" max="9994" width="12.83203125" style="12" bestFit="1" customWidth="1"/>
    <col min="9995" max="9995" width="8.83203125" style="12"/>
    <col min="9996" max="9996" width="12.83203125" style="12" bestFit="1" customWidth="1"/>
    <col min="9997" max="9998" width="8.83203125" style="12"/>
    <col min="9999" max="10000" width="12.83203125" style="12" bestFit="1" customWidth="1"/>
    <col min="10001" max="10243" width="8.83203125" style="12"/>
    <col min="10244" max="10244" width="13.4140625" style="12" customWidth="1"/>
    <col min="10245" max="10245" width="0.6640625" style="12" customWidth="1"/>
    <col min="10246" max="10247" width="8.83203125" style="12"/>
    <col min="10248" max="10248" width="28.5" style="12" customWidth="1"/>
    <col min="10249" max="10249" width="15.33203125" style="12" customWidth="1"/>
    <col min="10250" max="10250" width="12.83203125" style="12" bestFit="1" customWidth="1"/>
    <col min="10251" max="10251" width="8.83203125" style="12"/>
    <col min="10252" max="10252" width="12.83203125" style="12" bestFit="1" customWidth="1"/>
    <col min="10253" max="10254" width="8.83203125" style="12"/>
    <col min="10255" max="10256" width="12.83203125" style="12" bestFit="1" customWidth="1"/>
    <col min="10257" max="10499" width="8.83203125" style="12"/>
    <col min="10500" max="10500" width="13.4140625" style="12" customWidth="1"/>
    <col min="10501" max="10501" width="0.6640625" style="12" customWidth="1"/>
    <col min="10502" max="10503" width="8.83203125" style="12"/>
    <col min="10504" max="10504" width="28.5" style="12" customWidth="1"/>
    <col min="10505" max="10505" width="15.33203125" style="12" customWidth="1"/>
    <col min="10506" max="10506" width="12.83203125" style="12" bestFit="1" customWidth="1"/>
    <col min="10507" max="10507" width="8.83203125" style="12"/>
    <col min="10508" max="10508" width="12.83203125" style="12" bestFit="1" customWidth="1"/>
    <col min="10509" max="10510" width="8.83203125" style="12"/>
    <col min="10511" max="10512" width="12.83203125" style="12" bestFit="1" customWidth="1"/>
    <col min="10513" max="10755" width="8.83203125" style="12"/>
    <col min="10756" max="10756" width="13.4140625" style="12" customWidth="1"/>
    <col min="10757" max="10757" width="0.6640625" style="12" customWidth="1"/>
    <col min="10758" max="10759" width="8.83203125" style="12"/>
    <col min="10760" max="10760" width="28.5" style="12" customWidth="1"/>
    <col min="10761" max="10761" width="15.33203125" style="12" customWidth="1"/>
    <col min="10762" max="10762" width="12.83203125" style="12" bestFit="1" customWidth="1"/>
    <col min="10763" max="10763" width="8.83203125" style="12"/>
    <col min="10764" max="10764" width="12.83203125" style="12" bestFit="1" customWidth="1"/>
    <col min="10765" max="10766" width="8.83203125" style="12"/>
    <col min="10767" max="10768" width="12.83203125" style="12" bestFit="1" customWidth="1"/>
    <col min="10769" max="11011" width="8.83203125" style="12"/>
    <col min="11012" max="11012" width="13.4140625" style="12" customWidth="1"/>
    <col min="11013" max="11013" width="0.6640625" style="12" customWidth="1"/>
    <col min="11014" max="11015" width="8.83203125" style="12"/>
    <col min="11016" max="11016" width="28.5" style="12" customWidth="1"/>
    <col min="11017" max="11017" width="15.33203125" style="12" customWidth="1"/>
    <col min="11018" max="11018" width="12.83203125" style="12" bestFit="1" customWidth="1"/>
    <col min="11019" max="11019" width="8.83203125" style="12"/>
    <col min="11020" max="11020" width="12.83203125" style="12" bestFit="1" customWidth="1"/>
    <col min="11021" max="11022" width="8.83203125" style="12"/>
    <col min="11023" max="11024" width="12.83203125" style="12" bestFit="1" customWidth="1"/>
    <col min="11025" max="11267" width="8.83203125" style="12"/>
    <col min="11268" max="11268" width="13.4140625" style="12" customWidth="1"/>
    <col min="11269" max="11269" width="0.6640625" style="12" customWidth="1"/>
    <col min="11270" max="11271" width="8.83203125" style="12"/>
    <col min="11272" max="11272" width="28.5" style="12" customWidth="1"/>
    <col min="11273" max="11273" width="15.33203125" style="12" customWidth="1"/>
    <col min="11274" max="11274" width="12.83203125" style="12" bestFit="1" customWidth="1"/>
    <col min="11275" max="11275" width="8.83203125" style="12"/>
    <col min="11276" max="11276" width="12.83203125" style="12" bestFit="1" customWidth="1"/>
    <col min="11277" max="11278" width="8.83203125" style="12"/>
    <col min="11279" max="11280" width="12.83203125" style="12" bestFit="1" customWidth="1"/>
    <col min="11281" max="11523" width="8.83203125" style="12"/>
    <col min="11524" max="11524" width="13.4140625" style="12" customWidth="1"/>
    <col min="11525" max="11525" width="0.6640625" style="12" customWidth="1"/>
    <col min="11526" max="11527" width="8.83203125" style="12"/>
    <col min="11528" max="11528" width="28.5" style="12" customWidth="1"/>
    <col min="11529" max="11529" width="15.33203125" style="12" customWidth="1"/>
    <col min="11530" max="11530" width="12.83203125" style="12" bestFit="1" customWidth="1"/>
    <col min="11531" max="11531" width="8.83203125" style="12"/>
    <col min="11532" max="11532" width="12.83203125" style="12" bestFit="1" customWidth="1"/>
    <col min="11533" max="11534" width="8.83203125" style="12"/>
    <col min="11535" max="11536" width="12.83203125" style="12" bestFit="1" customWidth="1"/>
    <col min="11537" max="11779" width="8.83203125" style="12"/>
    <col min="11780" max="11780" width="13.4140625" style="12" customWidth="1"/>
    <col min="11781" max="11781" width="0.6640625" style="12" customWidth="1"/>
    <col min="11782" max="11783" width="8.83203125" style="12"/>
    <col min="11784" max="11784" width="28.5" style="12" customWidth="1"/>
    <col min="11785" max="11785" width="15.33203125" style="12" customWidth="1"/>
    <col min="11786" max="11786" width="12.83203125" style="12" bestFit="1" customWidth="1"/>
    <col min="11787" max="11787" width="8.83203125" style="12"/>
    <col min="11788" max="11788" width="12.83203125" style="12" bestFit="1" customWidth="1"/>
    <col min="11789" max="11790" width="8.83203125" style="12"/>
    <col min="11791" max="11792" width="12.83203125" style="12" bestFit="1" customWidth="1"/>
    <col min="11793" max="12035" width="8.83203125" style="12"/>
    <col min="12036" max="12036" width="13.4140625" style="12" customWidth="1"/>
    <col min="12037" max="12037" width="0.6640625" style="12" customWidth="1"/>
    <col min="12038" max="12039" width="8.83203125" style="12"/>
    <col min="12040" max="12040" width="28.5" style="12" customWidth="1"/>
    <col min="12041" max="12041" width="15.33203125" style="12" customWidth="1"/>
    <col min="12042" max="12042" width="12.83203125" style="12" bestFit="1" customWidth="1"/>
    <col min="12043" max="12043" width="8.83203125" style="12"/>
    <col min="12044" max="12044" width="12.83203125" style="12" bestFit="1" customWidth="1"/>
    <col min="12045" max="12046" width="8.83203125" style="12"/>
    <col min="12047" max="12048" width="12.83203125" style="12" bestFit="1" customWidth="1"/>
    <col min="12049" max="12291" width="8.83203125" style="12"/>
    <col min="12292" max="12292" width="13.4140625" style="12" customWidth="1"/>
    <col min="12293" max="12293" width="0.6640625" style="12" customWidth="1"/>
    <col min="12294" max="12295" width="8.83203125" style="12"/>
    <col min="12296" max="12296" width="28.5" style="12" customWidth="1"/>
    <col min="12297" max="12297" width="15.33203125" style="12" customWidth="1"/>
    <col min="12298" max="12298" width="12.83203125" style="12" bestFit="1" customWidth="1"/>
    <col min="12299" max="12299" width="8.83203125" style="12"/>
    <col min="12300" max="12300" width="12.83203125" style="12" bestFit="1" customWidth="1"/>
    <col min="12301" max="12302" width="8.83203125" style="12"/>
    <col min="12303" max="12304" width="12.83203125" style="12" bestFit="1" customWidth="1"/>
    <col min="12305" max="12547" width="8.83203125" style="12"/>
    <col min="12548" max="12548" width="13.4140625" style="12" customWidth="1"/>
    <col min="12549" max="12549" width="0.6640625" style="12" customWidth="1"/>
    <col min="12550" max="12551" width="8.83203125" style="12"/>
    <col min="12552" max="12552" width="28.5" style="12" customWidth="1"/>
    <col min="12553" max="12553" width="15.33203125" style="12" customWidth="1"/>
    <col min="12554" max="12554" width="12.83203125" style="12" bestFit="1" customWidth="1"/>
    <col min="12555" max="12555" width="8.83203125" style="12"/>
    <col min="12556" max="12556" width="12.83203125" style="12" bestFit="1" customWidth="1"/>
    <col min="12557" max="12558" width="8.83203125" style="12"/>
    <col min="12559" max="12560" width="12.83203125" style="12" bestFit="1" customWidth="1"/>
    <col min="12561" max="12803" width="8.83203125" style="12"/>
    <col min="12804" max="12804" width="13.4140625" style="12" customWidth="1"/>
    <col min="12805" max="12805" width="0.6640625" style="12" customWidth="1"/>
    <col min="12806" max="12807" width="8.83203125" style="12"/>
    <col min="12808" max="12808" width="28.5" style="12" customWidth="1"/>
    <col min="12809" max="12809" width="15.33203125" style="12" customWidth="1"/>
    <col min="12810" max="12810" width="12.83203125" style="12" bestFit="1" customWidth="1"/>
    <col min="12811" max="12811" width="8.83203125" style="12"/>
    <col min="12812" max="12812" width="12.83203125" style="12" bestFit="1" customWidth="1"/>
    <col min="12813" max="12814" width="8.83203125" style="12"/>
    <col min="12815" max="12816" width="12.83203125" style="12" bestFit="1" customWidth="1"/>
    <col min="12817" max="13059" width="8.83203125" style="12"/>
    <col min="13060" max="13060" width="13.4140625" style="12" customWidth="1"/>
    <col min="13061" max="13061" width="0.6640625" style="12" customWidth="1"/>
    <col min="13062" max="13063" width="8.83203125" style="12"/>
    <col min="13064" max="13064" width="28.5" style="12" customWidth="1"/>
    <col min="13065" max="13065" width="15.33203125" style="12" customWidth="1"/>
    <col min="13066" max="13066" width="12.83203125" style="12" bestFit="1" customWidth="1"/>
    <col min="13067" max="13067" width="8.83203125" style="12"/>
    <col min="13068" max="13068" width="12.83203125" style="12" bestFit="1" customWidth="1"/>
    <col min="13069" max="13070" width="8.83203125" style="12"/>
    <col min="13071" max="13072" width="12.83203125" style="12" bestFit="1" customWidth="1"/>
    <col min="13073" max="13315" width="8.83203125" style="12"/>
    <col min="13316" max="13316" width="13.4140625" style="12" customWidth="1"/>
    <col min="13317" max="13317" width="0.6640625" style="12" customWidth="1"/>
    <col min="13318" max="13319" width="8.83203125" style="12"/>
    <col min="13320" max="13320" width="28.5" style="12" customWidth="1"/>
    <col min="13321" max="13321" width="15.33203125" style="12" customWidth="1"/>
    <col min="13322" max="13322" width="12.83203125" style="12" bestFit="1" customWidth="1"/>
    <col min="13323" max="13323" width="8.83203125" style="12"/>
    <col min="13324" max="13324" width="12.83203125" style="12" bestFit="1" customWidth="1"/>
    <col min="13325" max="13326" width="8.83203125" style="12"/>
    <col min="13327" max="13328" width="12.83203125" style="12" bestFit="1" customWidth="1"/>
    <col min="13329" max="13571" width="8.83203125" style="12"/>
    <col min="13572" max="13572" width="13.4140625" style="12" customWidth="1"/>
    <col min="13573" max="13573" width="0.6640625" style="12" customWidth="1"/>
    <col min="13574" max="13575" width="8.83203125" style="12"/>
    <col min="13576" max="13576" width="28.5" style="12" customWidth="1"/>
    <col min="13577" max="13577" width="15.33203125" style="12" customWidth="1"/>
    <col min="13578" max="13578" width="12.83203125" style="12" bestFit="1" customWidth="1"/>
    <col min="13579" max="13579" width="8.83203125" style="12"/>
    <col min="13580" max="13580" width="12.83203125" style="12" bestFit="1" customWidth="1"/>
    <col min="13581" max="13582" width="8.83203125" style="12"/>
    <col min="13583" max="13584" width="12.83203125" style="12" bestFit="1" customWidth="1"/>
    <col min="13585" max="13827" width="8.83203125" style="12"/>
    <col min="13828" max="13828" width="13.4140625" style="12" customWidth="1"/>
    <col min="13829" max="13829" width="0.6640625" style="12" customWidth="1"/>
    <col min="13830" max="13831" width="8.83203125" style="12"/>
    <col min="13832" max="13832" width="28.5" style="12" customWidth="1"/>
    <col min="13833" max="13833" width="15.33203125" style="12" customWidth="1"/>
    <col min="13834" max="13834" width="12.83203125" style="12" bestFit="1" customWidth="1"/>
    <col min="13835" max="13835" width="8.83203125" style="12"/>
    <col min="13836" max="13836" width="12.83203125" style="12" bestFit="1" customWidth="1"/>
    <col min="13837" max="13838" width="8.83203125" style="12"/>
    <col min="13839" max="13840" width="12.83203125" style="12" bestFit="1" customWidth="1"/>
    <col min="13841" max="14083" width="8.83203125" style="12"/>
    <col min="14084" max="14084" width="13.4140625" style="12" customWidth="1"/>
    <col min="14085" max="14085" width="0.6640625" style="12" customWidth="1"/>
    <col min="14086" max="14087" width="8.83203125" style="12"/>
    <col min="14088" max="14088" width="28.5" style="12" customWidth="1"/>
    <col min="14089" max="14089" width="15.33203125" style="12" customWidth="1"/>
    <col min="14090" max="14090" width="12.83203125" style="12" bestFit="1" customWidth="1"/>
    <col min="14091" max="14091" width="8.83203125" style="12"/>
    <col min="14092" max="14092" width="12.83203125" style="12" bestFit="1" customWidth="1"/>
    <col min="14093" max="14094" width="8.83203125" style="12"/>
    <col min="14095" max="14096" width="12.83203125" style="12" bestFit="1" customWidth="1"/>
    <col min="14097" max="14339" width="8.83203125" style="12"/>
    <col min="14340" max="14340" width="13.4140625" style="12" customWidth="1"/>
    <col min="14341" max="14341" width="0.6640625" style="12" customWidth="1"/>
    <col min="14342" max="14343" width="8.83203125" style="12"/>
    <col min="14344" max="14344" width="28.5" style="12" customWidth="1"/>
    <col min="14345" max="14345" width="15.33203125" style="12" customWidth="1"/>
    <col min="14346" max="14346" width="12.83203125" style="12" bestFit="1" customWidth="1"/>
    <col min="14347" max="14347" width="8.83203125" style="12"/>
    <col min="14348" max="14348" width="12.83203125" style="12" bestFit="1" customWidth="1"/>
    <col min="14349" max="14350" width="8.83203125" style="12"/>
    <col min="14351" max="14352" width="12.83203125" style="12" bestFit="1" customWidth="1"/>
    <col min="14353" max="14595" width="8.83203125" style="12"/>
    <col min="14596" max="14596" width="13.4140625" style="12" customWidth="1"/>
    <col min="14597" max="14597" width="0.6640625" style="12" customWidth="1"/>
    <col min="14598" max="14599" width="8.83203125" style="12"/>
    <col min="14600" max="14600" width="28.5" style="12" customWidth="1"/>
    <col min="14601" max="14601" width="15.33203125" style="12" customWidth="1"/>
    <col min="14602" max="14602" width="12.83203125" style="12" bestFit="1" customWidth="1"/>
    <col min="14603" max="14603" width="8.83203125" style="12"/>
    <col min="14604" max="14604" width="12.83203125" style="12" bestFit="1" customWidth="1"/>
    <col min="14605" max="14606" width="8.83203125" style="12"/>
    <col min="14607" max="14608" width="12.83203125" style="12" bestFit="1" customWidth="1"/>
    <col min="14609" max="14851" width="8.83203125" style="12"/>
    <col min="14852" max="14852" width="13.4140625" style="12" customWidth="1"/>
    <col min="14853" max="14853" width="0.6640625" style="12" customWidth="1"/>
    <col min="14854" max="14855" width="8.83203125" style="12"/>
    <col min="14856" max="14856" width="28.5" style="12" customWidth="1"/>
    <col min="14857" max="14857" width="15.33203125" style="12" customWidth="1"/>
    <col min="14858" max="14858" width="12.83203125" style="12" bestFit="1" customWidth="1"/>
    <col min="14859" max="14859" width="8.83203125" style="12"/>
    <col min="14860" max="14860" width="12.83203125" style="12" bestFit="1" customWidth="1"/>
    <col min="14861" max="14862" width="8.83203125" style="12"/>
    <col min="14863" max="14864" width="12.83203125" style="12" bestFit="1" customWidth="1"/>
    <col min="14865" max="15107" width="8.83203125" style="12"/>
    <col min="15108" max="15108" width="13.4140625" style="12" customWidth="1"/>
    <col min="15109" max="15109" width="0.6640625" style="12" customWidth="1"/>
    <col min="15110" max="15111" width="8.83203125" style="12"/>
    <col min="15112" max="15112" width="28.5" style="12" customWidth="1"/>
    <col min="15113" max="15113" width="15.33203125" style="12" customWidth="1"/>
    <col min="15114" max="15114" width="12.83203125" style="12" bestFit="1" customWidth="1"/>
    <col min="15115" max="15115" width="8.83203125" style="12"/>
    <col min="15116" max="15116" width="12.83203125" style="12" bestFit="1" customWidth="1"/>
    <col min="15117" max="15118" width="8.83203125" style="12"/>
    <col min="15119" max="15120" width="12.83203125" style="12" bestFit="1" customWidth="1"/>
    <col min="15121" max="15363" width="8.83203125" style="12"/>
    <col min="15364" max="15364" width="13.4140625" style="12" customWidth="1"/>
    <col min="15365" max="15365" width="0.6640625" style="12" customWidth="1"/>
    <col min="15366" max="15367" width="8.83203125" style="12"/>
    <col min="15368" max="15368" width="28.5" style="12" customWidth="1"/>
    <col min="15369" max="15369" width="15.33203125" style="12" customWidth="1"/>
    <col min="15370" max="15370" width="12.83203125" style="12" bestFit="1" customWidth="1"/>
    <col min="15371" max="15371" width="8.83203125" style="12"/>
    <col min="15372" max="15372" width="12.83203125" style="12" bestFit="1" customWidth="1"/>
    <col min="15373" max="15374" width="8.83203125" style="12"/>
    <col min="15375" max="15376" width="12.83203125" style="12" bestFit="1" customWidth="1"/>
    <col min="15377" max="15619" width="8.83203125" style="12"/>
    <col min="15620" max="15620" width="13.4140625" style="12" customWidth="1"/>
    <col min="15621" max="15621" width="0.6640625" style="12" customWidth="1"/>
    <col min="15622" max="15623" width="8.83203125" style="12"/>
    <col min="15624" max="15624" width="28.5" style="12" customWidth="1"/>
    <col min="15625" max="15625" width="15.33203125" style="12" customWidth="1"/>
    <col min="15626" max="15626" width="12.83203125" style="12" bestFit="1" customWidth="1"/>
    <col min="15627" max="15627" width="8.83203125" style="12"/>
    <col min="15628" max="15628" width="12.83203125" style="12" bestFit="1" customWidth="1"/>
    <col min="15629" max="15630" width="8.83203125" style="12"/>
    <col min="15631" max="15632" width="12.83203125" style="12" bestFit="1" customWidth="1"/>
    <col min="15633" max="15875" width="8.83203125" style="12"/>
    <col min="15876" max="15876" width="13.4140625" style="12" customWidth="1"/>
    <col min="15877" max="15877" width="0.6640625" style="12" customWidth="1"/>
    <col min="15878" max="15879" width="8.83203125" style="12"/>
    <col min="15880" max="15880" width="28.5" style="12" customWidth="1"/>
    <col min="15881" max="15881" width="15.33203125" style="12" customWidth="1"/>
    <col min="15882" max="15882" width="12.83203125" style="12" bestFit="1" customWidth="1"/>
    <col min="15883" max="15883" width="8.83203125" style="12"/>
    <col min="15884" max="15884" width="12.83203125" style="12" bestFit="1" customWidth="1"/>
    <col min="15885" max="15886" width="8.83203125" style="12"/>
    <col min="15887" max="15888" width="12.83203125" style="12" bestFit="1" customWidth="1"/>
    <col min="15889" max="16131" width="8.83203125" style="12"/>
    <col min="16132" max="16132" width="13.4140625" style="12" customWidth="1"/>
    <col min="16133" max="16133" width="0.6640625" style="12" customWidth="1"/>
    <col min="16134" max="16135" width="8.83203125" style="12"/>
    <col min="16136" max="16136" width="28.5" style="12" customWidth="1"/>
    <col min="16137" max="16137" width="15.33203125" style="12" customWidth="1"/>
    <col min="16138" max="16138" width="12.83203125" style="12" bestFit="1" customWidth="1"/>
    <col min="16139" max="16139" width="8.83203125" style="12"/>
    <col min="16140" max="16140" width="12.83203125" style="12" bestFit="1" customWidth="1"/>
    <col min="16141" max="16142" width="8.83203125" style="12"/>
    <col min="16143" max="16144" width="12.83203125" style="12" bestFit="1" customWidth="1"/>
    <col min="16145" max="16384" width="8.83203125" style="12"/>
  </cols>
  <sheetData>
    <row r="1" spans="1:15" s="3" customFormat="1" ht="62" customHeight="1" x14ac:dyDescent="0.3">
      <c r="A1" s="13" t="s">
        <v>0</v>
      </c>
      <c r="B1" s="14"/>
      <c r="C1" s="14"/>
      <c r="D1" s="14"/>
      <c r="E1" s="1"/>
      <c r="F1" s="15" t="s">
        <v>1</v>
      </c>
      <c r="G1" s="15"/>
      <c r="H1" s="15"/>
      <c r="I1" s="2"/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</row>
    <row r="2" spans="1:15" s="3" customFormat="1" ht="33" customHeight="1" x14ac:dyDescent="0.3">
      <c r="A2" s="3" t="s">
        <v>8</v>
      </c>
      <c r="B2" s="1" t="s">
        <v>9</v>
      </c>
      <c r="C2" s="1" t="s">
        <v>10</v>
      </c>
      <c r="D2" s="1" t="s">
        <v>11</v>
      </c>
      <c r="E2" s="1"/>
      <c r="F2" s="1" t="s">
        <v>10</v>
      </c>
      <c r="G2" s="1" t="s">
        <v>11</v>
      </c>
      <c r="H2" s="1" t="s">
        <v>12</v>
      </c>
      <c r="I2" s="2" t="s">
        <v>13</v>
      </c>
      <c r="J2" s="3" t="s">
        <v>11</v>
      </c>
    </row>
    <row r="3" spans="1:15" s="4" customFormat="1" x14ac:dyDescent="0.3">
      <c r="A3" s="4">
        <v>2004</v>
      </c>
      <c r="B3" s="4" t="s">
        <v>14</v>
      </c>
      <c r="E3" s="5"/>
      <c r="F3" s="5">
        <v>12890</v>
      </c>
      <c r="G3" s="4">
        <v>935.46519999999998</v>
      </c>
      <c r="H3" s="7">
        <f t="shared" ref="H3:H9" si="0">F3/G3*100000</f>
        <v>1377924.0531876546</v>
      </c>
      <c r="I3" s="4">
        <v>7</v>
      </c>
      <c r="J3" s="8">
        <f t="shared" ref="J3:J66" si="1">I3/H3*100000</f>
        <v>0.50801058184639258</v>
      </c>
    </row>
    <row r="4" spans="1:15" s="3" customFormat="1" x14ac:dyDescent="0.3">
      <c r="B4" s="1" t="s">
        <v>16</v>
      </c>
      <c r="C4" s="1"/>
      <c r="D4" s="1"/>
      <c r="E4" s="1"/>
      <c r="F4" s="1">
        <v>5579</v>
      </c>
      <c r="G4" s="1">
        <v>1362.7526</v>
      </c>
      <c r="H4" s="1">
        <f t="shared" si="0"/>
        <v>409391.99088668037</v>
      </c>
      <c r="I4" s="3">
        <v>0</v>
      </c>
      <c r="J4" s="12">
        <f t="shared" si="1"/>
        <v>0</v>
      </c>
    </row>
    <row r="5" spans="1:15" s="3" customFormat="1" x14ac:dyDescent="0.3">
      <c r="B5" s="1" t="s">
        <v>19</v>
      </c>
      <c r="C5" s="1"/>
      <c r="D5" s="1"/>
      <c r="E5" s="1"/>
      <c r="F5" s="1">
        <v>1390</v>
      </c>
      <c r="G5" s="1">
        <v>807.10249999999996</v>
      </c>
      <c r="H5" s="1">
        <f t="shared" si="0"/>
        <v>172221.00043055249</v>
      </c>
      <c r="I5" s="3">
        <v>0</v>
      </c>
      <c r="J5" s="12">
        <f t="shared" si="1"/>
        <v>0</v>
      </c>
    </row>
    <row r="6" spans="1:15" s="3" customFormat="1" x14ac:dyDescent="0.3">
      <c r="B6" s="1" t="s">
        <v>18</v>
      </c>
      <c r="C6" s="1"/>
      <c r="D6" s="1"/>
      <c r="E6" s="1"/>
      <c r="F6" s="1">
        <v>2003</v>
      </c>
      <c r="G6" s="1">
        <v>949.76170000000002</v>
      </c>
      <c r="H6" s="1">
        <f t="shared" si="0"/>
        <v>210895.00661060557</v>
      </c>
      <c r="I6" s="3">
        <v>0</v>
      </c>
      <c r="J6" s="12">
        <f t="shared" si="1"/>
        <v>0</v>
      </c>
    </row>
    <row r="7" spans="1:15" s="3" customFormat="1" x14ac:dyDescent="0.3">
      <c r="B7" s="1" t="s">
        <v>20</v>
      </c>
      <c r="C7" s="1"/>
      <c r="D7" s="1"/>
      <c r="E7" s="1"/>
      <c r="F7" s="1">
        <v>1031</v>
      </c>
      <c r="G7" s="1">
        <v>505.32029999999997</v>
      </c>
      <c r="H7" s="1">
        <f t="shared" si="0"/>
        <v>204029.00892760494</v>
      </c>
      <c r="I7" s="3">
        <v>0</v>
      </c>
      <c r="J7" s="12">
        <f t="shared" si="1"/>
        <v>0</v>
      </c>
    </row>
    <row r="8" spans="1:15" s="3" customFormat="1" x14ac:dyDescent="0.3">
      <c r="B8" s="1" t="s">
        <v>21</v>
      </c>
      <c r="C8" s="1"/>
      <c r="D8" s="1"/>
      <c r="E8" s="1"/>
      <c r="F8" s="1">
        <v>1116</v>
      </c>
      <c r="G8" s="1">
        <v>625.71489999999994</v>
      </c>
      <c r="H8" s="1">
        <f t="shared" si="0"/>
        <v>178355.989285216</v>
      </c>
      <c r="I8" s="3">
        <v>6</v>
      </c>
      <c r="J8" s="12">
        <f t="shared" si="1"/>
        <v>3.3640586021505379</v>
      </c>
    </row>
    <row r="9" spans="1:15" s="3" customFormat="1" x14ac:dyDescent="0.3">
      <c r="B9" s="1" t="s">
        <v>22</v>
      </c>
      <c r="C9" s="1"/>
      <c r="D9" s="1"/>
      <c r="E9" s="1"/>
      <c r="F9" s="1">
        <v>1755</v>
      </c>
      <c r="G9" s="1">
        <v>753.04110000000003</v>
      </c>
      <c r="H9" s="1">
        <f t="shared" si="0"/>
        <v>233055.00855132606</v>
      </c>
      <c r="I9" s="3">
        <v>1</v>
      </c>
      <c r="J9" s="12">
        <f t="shared" si="1"/>
        <v>0.42908324786324792</v>
      </c>
    </row>
    <row r="10" spans="1:15" s="4" customFormat="1" x14ac:dyDescent="0.3">
      <c r="A10" s="4">
        <v>2005</v>
      </c>
      <c r="B10" s="4" t="s">
        <v>14</v>
      </c>
      <c r="E10" s="5"/>
      <c r="F10" s="5">
        <v>12241</v>
      </c>
      <c r="G10" s="4">
        <v>806.27099999999996</v>
      </c>
      <c r="H10" s="7">
        <f t="shared" ref="H10:H16" si="2">F10/G10*100000</f>
        <v>1518224.0214518444</v>
      </c>
      <c r="I10" s="4">
        <v>23</v>
      </c>
      <c r="J10" s="8">
        <f t="shared" si="1"/>
        <v>1.5149279470631483</v>
      </c>
    </row>
    <row r="11" spans="1:15" s="3" customFormat="1" x14ac:dyDescent="0.3">
      <c r="B11" s="1" t="s">
        <v>16</v>
      </c>
      <c r="C11" s="1"/>
      <c r="D11" s="1"/>
      <c r="E11" s="1"/>
      <c r="F11" s="1">
        <v>4938</v>
      </c>
      <c r="G11" s="3">
        <v>1206.1789000000001</v>
      </c>
      <c r="H11" s="11">
        <f t="shared" si="2"/>
        <v>409392.00644282525</v>
      </c>
      <c r="I11" s="3">
        <v>0</v>
      </c>
      <c r="J11" s="12">
        <f t="shared" si="1"/>
        <v>0</v>
      </c>
    </row>
    <row r="12" spans="1:15" s="3" customFormat="1" x14ac:dyDescent="0.3">
      <c r="B12" s="1" t="s">
        <v>18</v>
      </c>
      <c r="C12" s="1"/>
      <c r="D12" s="1"/>
      <c r="E12" s="1"/>
      <c r="F12" s="1">
        <v>2017</v>
      </c>
      <c r="G12" s="3">
        <v>956.40009999999995</v>
      </c>
      <c r="H12" s="11">
        <f t="shared" si="2"/>
        <v>210895.00095200745</v>
      </c>
      <c r="I12" s="3">
        <v>1</v>
      </c>
      <c r="J12" s="12">
        <f t="shared" si="1"/>
        <v>0.47416960832920174</v>
      </c>
    </row>
    <row r="13" spans="1:15" s="3" customFormat="1" x14ac:dyDescent="0.3">
      <c r="B13" s="1" t="s">
        <v>19</v>
      </c>
      <c r="C13" s="1"/>
      <c r="D13" s="1"/>
      <c r="E13" s="1"/>
      <c r="F13" s="1">
        <v>1524</v>
      </c>
      <c r="G13" s="3">
        <v>1104.8923</v>
      </c>
      <c r="H13" s="11">
        <f t="shared" si="2"/>
        <v>137931.9957248322</v>
      </c>
      <c r="I13" s="3">
        <v>0</v>
      </c>
      <c r="J13" s="12">
        <f t="shared" si="1"/>
        <v>0</v>
      </c>
    </row>
    <row r="14" spans="1:15" s="3" customFormat="1" x14ac:dyDescent="0.3">
      <c r="B14" s="1" t="s">
        <v>20</v>
      </c>
      <c r="C14" s="1"/>
      <c r="D14" s="1"/>
      <c r="E14" s="1"/>
      <c r="F14" s="1">
        <v>946</v>
      </c>
      <c r="G14" s="3">
        <v>460.34739999999999</v>
      </c>
      <c r="H14" s="11">
        <f t="shared" si="2"/>
        <v>205496.9790206266</v>
      </c>
      <c r="I14" s="3">
        <v>1</v>
      </c>
      <c r="J14" s="12">
        <f t="shared" si="1"/>
        <v>0.48662515856236782</v>
      </c>
    </row>
    <row r="15" spans="1:15" s="3" customFormat="1" x14ac:dyDescent="0.3">
      <c r="B15" s="1" t="s">
        <v>21</v>
      </c>
      <c r="C15" s="1"/>
      <c r="D15" s="1"/>
      <c r="E15" s="1"/>
      <c r="F15" s="1">
        <v>1345</v>
      </c>
      <c r="G15" s="3">
        <v>705.8922</v>
      </c>
      <c r="H15" s="11">
        <f t="shared" si="2"/>
        <v>190539.00864749606</v>
      </c>
      <c r="I15" s="3">
        <v>21</v>
      </c>
      <c r="J15" s="12">
        <f t="shared" si="1"/>
        <v>11.021365204460965</v>
      </c>
    </row>
    <row r="16" spans="1:15" s="3" customFormat="1" x14ac:dyDescent="0.3">
      <c r="B16" s="1" t="s">
        <v>22</v>
      </c>
      <c r="C16" s="1"/>
      <c r="D16" s="1"/>
      <c r="E16" s="1"/>
      <c r="F16" s="1">
        <v>1441</v>
      </c>
      <c r="G16" s="3">
        <v>532.54</v>
      </c>
      <c r="H16" s="11">
        <f t="shared" si="2"/>
        <v>270590.00262891053</v>
      </c>
      <c r="I16" s="3">
        <v>0</v>
      </c>
      <c r="J16" s="12">
        <f t="shared" si="1"/>
        <v>0</v>
      </c>
    </row>
    <row r="17" spans="1:10" s="4" customFormat="1" x14ac:dyDescent="0.3">
      <c r="A17" s="4">
        <v>2006</v>
      </c>
      <c r="B17" s="4" t="s">
        <v>14</v>
      </c>
      <c r="E17" s="5"/>
      <c r="F17" s="5">
        <v>13137</v>
      </c>
      <c r="G17" s="4">
        <v>858.20680000000004</v>
      </c>
      <c r="H17" s="7">
        <f t="shared" ref="H17:H23" si="3">F17/G17*100000</f>
        <v>1530749.9311354791</v>
      </c>
      <c r="I17" s="4">
        <v>2</v>
      </c>
      <c r="J17" s="8">
        <f t="shared" si="1"/>
        <v>0.13065491360280124</v>
      </c>
    </row>
    <row r="18" spans="1:10" s="3" customFormat="1" x14ac:dyDescent="0.3">
      <c r="B18" s="1" t="s">
        <v>16</v>
      </c>
      <c r="C18" s="1"/>
      <c r="D18" s="1"/>
      <c r="E18" s="1"/>
      <c r="F18" s="1">
        <v>5454</v>
      </c>
      <c r="G18" s="3">
        <v>1265.9813999999999</v>
      </c>
      <c r="H18" s="11">
        <f t="shared" si="3"/>
        <v>430812.01666943921</v>
      </c>
      <c r="I18" s="3">
        <v>1</v>
      </c>
      <c r="J18" s="12">
        <f t="shared" si="1"/>
        <v>0.23211980198019802</v>
      </c>
    </row>
    <row r="19" spans="1:10" s="3" customFormat="1" x14ac:dyDescent="0.3">
      <c r="B19" s="1" t="s">
        <v>18</v>
      </c>
      <c r="C19" s="1"/>
      <c r="D19" s="1"/>
      <c r="E19" s="1"/>
      <c r="F19" s="1">
        <v>2537</v>
      </c>
      <c r="G19" s="3">
        <v>1149.5293999999999</v>
      </c>
      <c r="H19" s="11">
        <f t="shared" si="3"/>
        <v>220699.00952511525</v>
      </c>
      <c r="I19" s="3">
        <v>1</v>
      </c>
      <c r="J19" s="12">
        <f t="shared" si="1"/>
        <v>0.45310579424517139</v>
      </c>
    </row>
    <row r="20" spans="1:10" s="3" customFormat="1" x14ac:dyDescent="0.3">
      <c r="B20" s="1" t="s">
        <v>19</v>
      </c>
      <c r="C20" s="1"/>
      <c r="D20" s="1"/>
      <c r="E20" s="1"/>
      <c r="F20" s="1">
        <v>1519</v>
      </c>
      <c r="G20" s="3">
        <v>1018.5607</v>
      </c>
      <c r="H20" s="11">
        <f t="shared" si="3"/>
        <v>149132.00558395783</v>
      </c>
      <c r="I20" s="3">
        <v>0</v>
      </c>
      <c r="J20" s="12">
        <f t="shared" si="1"/>
        <v>0</v>
      </c>
    </row>
    <row r="21" spans="1:10" s="3" customFormat="1" x14ac:dyDescent="0.3">
      <c r="B21" s="1" t="s">
        <v>20</v>
      </c>
      <c r="C21" s="1"/>
      <c r="D21" s="1"/>
      <c r="E21" s="1"/>
      <c r="F21" s="1">
        <v>1209</v>
      </c>
      <c r="G21" s="3">
        <v>582.60850000000005</v>
      </c>
      <c r="H21" s="11">
        <f t="shared" si="3"/>
        <v>207514.99506100579</v>
      </c>
      <c r="I21" s="3">
        <v>0</v>
      </c>
      <c r="J21" s="12">
        <f t="shared" si="1"/>
        <v>0</v>
      </c>
    </row>
    <row r="22" spans="1:10" s="3" customFormat="1" x14ac:dyDescent="0.3">
      <c r="B22" s="1" t="s">
        <v>21</v>
      </c>
      <c r="C22" s="1"/>
      <c r="D22" s="1"/>
      <c r="E22" s="1"/>
      <c r="F22" s="1">
        <v>1201</v>
      </c>
      <c r="G22" s="3">
        <v>624.99019999999996</v>
      </c>
      <c r="H22" s="11">
        <f t="shared" si="3"/>
        <v>192163.01311604568</v>
      </c>
      <c r="I22" s="3">
        <v>0</v>
      </c>
      <c r="J22" s="12">
        <f t="shared" si="1"/>
        <v>0</v>
      </c>
    </row>
    <row r="23" spans="1:10" s="3" customFormat="1" x14ac:dyDescent="0.3">
      <c r="B23" s="1" t="s">
        <v>22</v>
      </c>
      <c r="C23" s="1"/>
      <c r="D23" s="1"/>
      <c r="E23" s="1"/>
      <c r="F23" s="1">
        <v>1178</v>
      </c>
      <c r="G23" s="3">
        <v>430.14049999999997</v>
      </c>
      <c r="H23" s="11">
        <f t="shared" si="3"/>
        <v>273864.00490072434</v>
      </c>
      <c r="I23" s="3">
        <v>0</v>
      </c>
      <c r="J23" s="12">
        <f t="shared" si="1"/>
        <v>0</v>
      </c>
    </row>
    <row r="24" spans="1:10" s="4" customFormat="1" x14ac:dyDescent="0.3">
      <c r="A24" s="4">
        <v>2007</v>
      </c>
      <c r="B24" s="4" t="s">
        <v>14</v>
      </c>
      <c r="E24" s="5"/>
      <c r="F24" s="5">
        <v>12054</v>
      </c>
      <c r="G24" s="4">
        <v>779.23540000000003</v>
      </c>
      <c r="H24" s="7">
        <f t="shared" ref="H24:H30" si="4">F24/G24*100000</f>
        <v>1546900.9749813727</v>
      </c>
      <c r="I24" s="4">
        <v>14</v>
      </c>
      <c r="J24" s="8">
        <f t="shared" si="1"/>
        <v>0.9050353077816492</v>
      </c>
    </row>
    <row r="25" spans="1:10" s="3" customFormat="1" x14ac:dyDescent="0.3">
      <c r="B25" s="1" t="s">
        <v>16</v>
      </c>
      <c r="C25" s="1"/>
      <c r="D25" s="1"/>
      <c r="E25" s="1"/>
      <c r="F25" s="1">
        <v>4809</v>
      </c>
      <c r="G25" s="3">
        <v>1055.7652</v>
      </c>
      <c r="H25" s="11">
        <f t="shared" si="4"/>
        <v>455499.00678673625</v>
      </c>
      <c r="I25" s="3">
        <v>8</v>
      </c>
      <c r="J25" s="12">
        <f t="shared" si="1"/>
        <v>1.7563155749636099</v>
      </c>
    </row>
    <row r="26" spans="1:10" s="3" customFormat="1" x14ac:dyDescent="0.3">
      <c r="B26" s="1" t="s">
        <v>18</v>
      </c>
      <c r="C26" s="1"/>
      <c r="D26" s="1"/>
      <c r="E26" s="1"/>
      <c r="F26" s="1">
        <v>2047</v>
      </c>
      <c r="G26" s="3">
        <v>920.90229999999997</v>
      </c>
      <c r="H26" s="11">
        <f t="shared" si="4"/>
        <v>222281.99451776809</v>
      </c>
      <c r="I26" s="3">
        <v>2</v>
      </c>
      <c r="J26" s="12">
        <f t="shared" si="1"/>
        <v>0.89975798729848555</v>
      </c>
    </row>
    <row r="27" spans="1:10" s="3" customFormat="1" x14ac:dyDescent="0.3">
      <c r="B27" s="1" t="s">
        <v>19</v>
      </c>
      <c r="C27" s="1"/>
      <c r="D27" s="1"/>
      <c r="E27" s="1"/>
      <c r="F27" s="1">
        <v>1411</v>
      </c>
      <c r="G27" s="3">
        <v>937.03719999999998</v>
      </c>
      <c r="H27" s="11">
        <f t="shared" si="4"/>
        <v>150581.00147998394</v>
      </c>
      <c r="I27" s="3">
        <v>0</v>
      </c>
      <c r="J27" s="12">
        <f t="shared" si="1"/>
        <v>0</v>
      </c>
    </row>
    <row r="28" spans="1:10" s="3" customFormat="1" x14ac:dyDescent="0.3">
      <c r="B28" s="1" t="s">
        <v>20</v>
      </c>
      <c r="C28" s="1"/>
      <c r="D28" s="1"/>
      <c r="E28" s="1"/>
      <c r="F28" s="1">
        <v>1421</v>
      </c>
      <c r="G28" s="3">
        <v>676.32849999999996</v>
      </c>
      <c r="H28" s="11">
        <f t="shared" si="4"/>
        <v>210105.00075037498</v>
      </c>
      <c r="I28" s="3">
        <v>3</v>
      </c>
      <c r="J28" s="12">
        <f t="shared" si="1"/>
        <v>1.4278574947220268</v>
      </c>
    </row>
    <row r="29" spans="1:10" s="3" customFormat="1" x14ac:dyDescent="0.3">
      <c r="B29" s="1" t="s">
        <v>21</v>
      </c>
      <c r="C29" s="1"/>
      <c r="D29" s="1"/>
      <c r="E29" s="1"/>
      <c r="F29" s="1">
        <v>1210</v>
      </c>
      <c r="G29" s="3">
        <v>622.78039999999999</v>
      </c>
      <c r="H29" s="11">
        <f t="shared" si="4"/>
        <v>194289.99371206929</v>
      </c>
      <c r="I29" s="3">
        <v>1</v>
      </c>
      <c r="J29" s="12">
        <f t="shared" si="1"/>
        <v>0.5146945454545454</v>
      </c>
    </row>
    <row r="30" spans="1:10" s="3" customFormat="1" x14ac:dyDescent="0.3">
      <c r="B30" s="1" t="s">
        <v>22</v>
      </c>
      <c r="C30" s="1"/>
      <c r="D30" s="1"/>
      <c r="E30" s="1"/>
      <c r="F30" s="1">
        <v>1123</v>
      </c>
      <c r="G30" s="3">
        <v>404.21710000000002</v>
      </c>
      <c r="H30" s="11">
        <f t="shared" si="4"/>
        <v>277821.00262457971</v>
      </c>
      <c r="I30" s="3">
        <v>0</v>
      </c>
      <c r="J30" s="12">
        <f t="shared" si="1"/>
        <v>0</v>
      </c>
    </row>
    <row r="31" spans="1:10" s="4" customFormat="1" x14ac:dyDescent="0.3">
      <c r="A31" s="4">
        <v>2008</v>
      </c>
      <c r="B31" s="4" t="s">
        <v>14</v>
      </c>
      <c r="E31" s="5"/>
      <c r="F31" s="5">
        <v>15439</v>
      </c>
      <c r="G31" s="4">
        <v>991.10320000000002</v>
      </c>
      <c r="H31" s="7">
        <f t="shared" ref="H31:H37" si="5">F31/G31*100000</f>
        <v>1557759.0709020009</v>
      </c>
      <c r="I31" s="4">
        <v>17</v>
      </c>
      <c r="J31" s="8">
        <f t="shared" si="1"/>
        <v>1.0913112507286742</v>
      </c>
    </row>
    <row r="32" spans="1:10" s="3" customFormat="1" x14ac:dyDescent="0.3">
      <c r="B32" s="1" t="s">
        <v>16</v>
      </c>
      <c r="C32" s="1"/>
      <c r="D32" s="1"/>
      <c r="E32" s="1"/>
      <c r="F32" s="1">
        <v>5881</v>
      </c>
      <c r="G32" s="3">
        <v>1337.0436999999999</v>
      </c>
      <c r="H32" s="11">
        <f t="shared" si="5"/>
        <v>439850.99365114246</v>
      </c>
      <c r="I32" s="3">
        <v>2</v>
      </c>
      <c r="J32" s="12">
        <f t="shared" si="1"/>
        <v>0.45469943887094028</v>
      </c>
    </row>
    <row r="33" spans="1:10" s="3" customFormat="1" x14ac:dyDescent="0.3">
      <c r="B33" s="1" t="s">
        <v>18</v>
      </c>
      <c r="C33" s="1"/>
      <c r="D33" s="1"/>
      <c r="E33" s="1"/>
      <c r="F33" s="1">
        <v>3178</v>
      </c>
      <c r="G33" s="3">
        <v>1264.4428</v>
      </c>
      <c r="H33" s="11">
        <f t="shared" si="5"/>
        <v>251336.00349497818</v>
      </c>
      <c r="I33" s="3">
        <v>9</v>
      </c>
      <c r="J33" s="12">
        <f t="shared" si="1"/>
        <v>3.5808638137193198</v>
      </c>
    </row>
    <row r="34" spans="1:10" s="3" customFormat="1" x14ac:dyDescent="0.3">
      <c r="B34" s="1" t="s">
        <v>19</v>
      </c>
      <c r="C34" s="1"/>
      <c r="D34" s="1"/>
      <c r="E34" s="1"/>
      <c r="F34" s="1">
        <v>1799</v>
      </c>
      <c r="G34" s="3">
        <v>1010.4471</v>
      </c>
      <c r="H34" s="11">
        <f t="shared" si="5"/>
        <v>178039.99833341103</v>
      </c>
      <c r="I34" s="3">
        <v>0</v>
      </c>
      <c r="J34" s="12">
        <f t="shared" si="1"/>
        <v>0</v>
      </c>
    </row>
    <row r="35" spans="1:10" s="3" customFormat="1" x14ac:dyDescent="0.3">
      <c r="B35" s="1" t="s">
        <v>20</v>
      </c>
      <c r="C35" s="1"/>
      <c r="D35" s="1"/>
      <c r="E35" s="1"/>
      <c r="F35" s="1">
        <v>1532</v>
      </c>
      <c r="G35" s="3">
        <v>722.76769999999999</v>
      </c>
      <c r="H35" s="11">
        <f t="shared" si="5"/>
        <v>211962.98617107546</v>
      </c>
      <c r="I35" s="3">
        <v>2</v>
      </c>
      <c r="J35" s="12">
        <f t="shared" si="1"/>
        <v>0.94356096605744122</v>
      </c>
    </row>
    <row r="36" spans="1:10" s="3" customFormat="1" x14ac:dyDescent="0.3">
      <c r="B36" s="1" t="s">
        <v>21</v>
      </c>
      <c r="C36" s="1"/>
      <c r="D36" s="1"/>
      <c r="E36" s="1"/>
      <c r="F36" s="1">
        <v>1395</v>
      </c>
      <c r="G36" s="3">
        <v>712.58540000000005</v>
      </c>
      <c r="H36" s="11">
        <f t="shared" si="5"/>
        <v>195766.00923903295</v>
      </c>
      <c r="I36" s="3">
        <v>3</v>
      </c>
      <c r="J36" s="12">
        <f t="shared" si="1"/>
        <v>1.5324417204301075</v>
      </c>
    </row>
    <row r="37" spans="1:10" s="3" customFormat="1" x14ac:dyDescent="0.3">
      <c r="B37" s="1" t="s">
        <v>22</v>
      </c>
      <c r="C37" s="1"/>
      <c r="D37" s="1"/>
      <c r="E37" s="1"/>
      <c r="F37" s="1">
        <v>1635</v>
      </c>
      <c r="G37" s="3">
        <v>582.25869999999998</v>
      </c>
      <c r="H37" s="11">
        <f t="shared" si="5"/>
        <v>280803.01762773143</v>
      </c>
      <c r="I37" s="3">
        <v>1</v>
      </c>
      <c r="J37" s="12">
        <f t="shared" si="1"/>
        <v>0.3561215290519878</v>
      </c>
    </row>
    <row r="38" spans="1:10" s="4" customFormat="1" x14ac:dyDescent="0.3">
      <c r="A38" s="4">
        <v>2009</v>
      </c>
      <c r="B38" s="4" t="s">
        <v>14</v>
      </c>
      <c r="E38" s="5"/>
      <c r="F38" s="5">
        <v>17139</v>
      </c>
      <c r="G38" s="4">
        <v>1089.8235</v>
      </c>
      <c r="H38" s="7">
        <f t="shared" ref="H38:H44" si="6">F38/G38*100000</f>
        <v>1572639.9733534832</v>
      </c>
      <c r="I38" s="4">
        <v>15</v>
      </c>
      <c r="J38" s="8">
        <f t="shared" si="1"/>
        <v>0.95381016978820243</v>
      </c>
    </row>
    <row r="39" spans="1:10" s="3" customFormat="1" x14ac:dyDescent="0.3">
      <c r="B39" s="1" t="s">
        <v>16</v>
      </c>
      <c r="C39" s="1"/>
      <c r="D39" s="1"/>
      <c r="E39" s="1"/>
      <c r="F39" s="1">
        <v>7099</v>
      </c>
      <c r="G39" s="3">
        <v>1685.0026</v>
      </c>
      <c r="H39" s="11">
        <f t="shared" si="6"/>
        <v>421304.98789734807</v>
      </c>
      <c r="I39" s="3">
        <v>4</v>
      </c>
      <c r="J39" s="12">
        <f t="shared" si="1"/>
        <v>0.94943096210733913</v>
      </c>
    </row>
    <row r="40" spans="1:10" s="3" customFormat="1" x14ac:dyDescent="0.3">
      <c r="B40" s="1" t="s">
        <v>18</v>
      </c>
      <c r="C40" s="1"/>
      <c r="D40" s="1"/>
      <c r="E40" s="1"/>
      <c r="F40" s="1">
        <v>3000</v>
      </c>
      <c r="G40" s="3">
        <v>1127.4041999999999</v>
      </c>
      <c r="H40" s="11">
        <f t="shared" si="6"/>
        <v>266097.99750612961</v>
      </c>
      <c r="I40" s="3">
        <v>1</v>
      </c>
      <c r="J40" s="12">
        <f t="shared" si="1"/>
        <v>0.37580139999999995</v>
      </c>
    </row>
    <row r="41" spans="1:10" s="3" customFormat="1" x14ac:dyDescent="0.3">
      <c r="B41" s="1" t="s">
        <v>19</v>
      </c>
      <c r="C41" s="1"/>
      <c r="D41" s="1"/>
      <c r="E41" s="1"/>
      <c r="F41" s="1">
        <v>2256</v>
      </c>
      <c r="G41" s="3">
        <v>1196.9757</v>
      </c>
      <c r="H41" s="11">
        <f t="shared" si="6"/>
        <v>188475.00412915653</v>
      </c>
      <c r="I41" s="3">
        <v>0</v>
      </c>
      <c r="J41" s="12">
        <f t="shared" si="1"/>
        <v>0</v>
      </c>
    </row>
    <row r="42" spans="1:10" s="3" customFormat="1" x14ac:dyDescent="0.3">
      <c r="B42" s="1" t="s">
        <v>20</v>
      </c>
      <c r="C42" s="1"/>
      <c r="D42" s="1"/>
      <c r="E42" s="1"/>
      <c r="F42" s="1">
        <v>1913</v>
      </c>
      <c r="G42" s="3">
        <v>892.20749999999998</v>
      </c>
      <c r="H42" s="11">
        <f t="shared" si="6"/>
        <v>214412.00617569342</v>
      </c>
      <c r="I42" s="3">
        <v>7</v>
      </c>
      <c r="J42" s="12">
        <f t="shared" si="1"/>
        <v>3.264742550967068</v>
      </c>
    </row>
    <row r="43" spans="1:10" s="3" customFormat="1" x14ac:dyDescent="0.3">
      <c r="B43" s="1" t="s">
        <v>21</v>
      </c>
      <c r="C43" s="1"/>
      <c r="D43" s="1"/>
      <c r="E43" s="1"/>
      <c r="F43" s="1">
        <v>1188</v>
      </c>
      <c r="G43" s="3">
        <v>600.60670000000005</v>
      </c>
      <c r="H43" s="11">
        <f t="shared" si="6"/>
        <v>197799.99124218893</v>
      </c>
      <c r="I43" s="3">
        <v>3</v>
      </c>
      <c r="J43" s="12">
        <f t="shared" si="1"/>
        <v>1.5166835858585859</v>
      </c>
    </row>
    <row r="44" spans="1:10" s="3" customFormat="1" x14ac:dyDescent="0.3">
      <c r="B44" s="1" t="s">
        <v>22</v>
      </c>
      <c r="C44" s="1"/>
      <c r="D44" s="1"/>
      <c r="E44" s="1"/>
      <c r="F44" s="1">
        <v>1663</v>
      </c>
      <c r="G44" s="3">
        <v>584.4316</v>
      </c>
      <c r="H44" s="11">
        <f t="shared" si="6"/>
        <v>284549.97984366346</v>
      </c>
      <c r="I44" s="3">
        <v>0</v>
      </c>
      <c r="J44" s="12">
        <f t="shared" si="1"/>
        <v>0</v>
      </c>
    </row>
    <row r="45" spans="1:10" s="4" customFormat="1" x14ac:dyDescent="0.3">
      <c r="A45" s="4">
        <v>2010</v>
      </c>
      <c r="B45" s="4" t="s">
        <v>14</v>
      </c>
      <c r="E45" s="5"/>
      <c r="F45" s="5">
        <v>17228</v>
      </c>
      <c r="G45" s="4">
        <v>1085.8193000000001</v>
      </c>
      <c r="H45" s="7">
        <f t="shared" ref="H45:H51" si="7">F45/G45*100000</f>
        <v>1586636.0084039764</v>
      </c>
      <c r="I45" s="4">
        <v>21</v>
      </c>
      <c r="J45" s="8">
        <f t="shared" si="1"/>
        <v>1.3235549860691898</v>
      </c>
    </row>
    <row r="46" spans="1:10" s="3" customFormat="1" x14ac:dyDescent="0.3">
      <c r="B46" s="1" t="s">
        <v>16</v>
      </c>
      <c r="C46" s="1"/>
      <c r="D46" s="1"/>
      <c r="E46" s="1"/>
      <c r="F46" s="1">
        <v>7100</v>
      </c>
      <c r="G46" s="3">
        <v>1473.2369000000001</v>
      </c>
      <c r="H46" s="11">
        <f t="shared" si="7"/>
        <v>481931.99613721325</v>
      </c>
      <c r="I46" s="3">
        <v>8</v>
      </c>
      <c r="J46" s="12">
        <f t="shared" si="1"/>
        <v>1.6599852394366197</v>
      </c>
    </row>
    <row r="47" spans="1:10" s="3" customFormat="1" x14ac:dyDescent="0.3">
      <c r="B47" s="1" t="s">
        <v>18</v>
      </c>
      <c r="C47" s="1"/>
      <c r="D47" s="1"/>
      <c r="E47" s="1"/>
      <c r="F47" s="1">
        <v>3084</v>
      </c>
      <c r="G47" s="3">
        <v>1307.6994999999999</v>
      </c>
      <c r="H47" s="11">
        <f t="shared" si="7"/>
        <v>235833.99703066342</v>
      </c>
      <c r="I47" s="3">
        <v>4</v>
      </c>
      <c r="J47" s="12">
        <f t="shared" si="1"/>
        <v>1.6961083009079114</v>
      </c>
    </row>
    <row r="48" spans="1:10" s="3" customFormat="1" x14ac:dyDescent="0.3">
      <c r="B48" s="1" t="s">
        <v>19</v>
      </c>
      <c r="C48" s="1"/>
      <c r="D48" s="1"/>
      <c r="E48" s="1"/>
      <c r="F48" s="1">
        <v>2758</v>
      </c>
      <c r="G48" s="3">
        <v>1681.1025</v>
      </c>
      <c r="H48" s="11">
        <f t="shared" si="7"/>
        <v>164059.00294598337</v>
      </c>
      <c r="I48" s="3">
        <v>2</v>
      </c>
      <c r="J48" s="12">
        <f t="shared" si="1"/>
        <v>1.2190736040609136</v>
      </c>
    </row>
    <row r="49" spans="1:10" s="3" customFormat="1" x14ac:dyDescent="0.3">
      <c r="B49" s="1" t="s">
        <v>20</v>
      </c>
      <c r="C49" s="1"/>
      <c r="D49" s="1"/>
      <c r="E49" s="1"/>
      <c r="F49" s="1">
        <v>1658</v>
      </c>
      <c r="G49" s="3">
        <v>764.72839999999997</v>
      </c>
      <c r="H49" s="11">
        <f t="shared" si="7"/>
        <v>216809.00042420294</v>
      </c>
      <c r="I49" s="3">
        <v>4</v>
      </c>
      <c r="J49" s="12">
        <f t="shared" si="1"/>
        <v>1.8449418576598309</v>
      </c>
    </row>
    <row r="50" spans="1:10" s="3" customFormat="1" x14ac:dyDescent="0.3">
      <c r="B50" s="1" t="s">
        <v>21</v>
      </c>
      <c r="C50" s="1"/>
      <c r="D50" s="1"/>
      <c r="E50" s="1"/>
      <c r="F50" s="1">
        <v>1348</v>
      </c>
      <c r="G50" s="3">
        <v>674.71519999999998</v>
      </c>
      <c r="H50" s="11">
        <f t="shared" si="7"/>
        <v>199787.99944035648</v>
      </c>
      <c r="I50" s="3">
        <v>2</v>
      </c>
      <c r="J50" s="12">
        <f t="shared" si="1"/>
        <v>1.0010611275964392</v>
      </c>
    </row>
    <row r="51" spans="1:10" s="3" customFormat="1" x14ac:dyDescent="0.3">
      <c r="B51" s="1" t="s">
        <v>22</v>
      </c>
      <c r="C51" s="1"/>
      <c r="D51" s="1"/>
      <c r="E51" s="1"/>
      <c r="F51" s="1">
        <v>1261</v>
      </c>
      <c r="G51" s="3">
        <v>437.52210000000002</v>
      </c>
      <c r="H51" s="11">
        <f t="shared" si="7"/>
        <v>288214.01250359695</v>
      </c>
      <c r="I51" s="3">
        <v>1</v>
      </c>
      <c r="J51" s="12">
        <f t="shared" si="1"/>
        <v>0.34696439333862017</v>
      </c>
    </row>
    <row r="52" spans="1:10" s="4" customFormat="1" x14ac:dyDescent="0.3">
      <c r="A52" s="4">
        <v>2011</v>
      </c>
      <c r="B52" s="4" t="s">
        <v>14</v>
      </c>
      <c r="E52" s="5"/>
      <c r="F52" s="5">
        <v>16129</v>
      </c>
      <c r="G52" s="4">
        <v>809.24839999999995</v>
      </c>
      <c r="H52" s="7">
        <f t="shared" ref="H52:H58" si="8">F52/G52*100000</f>
        <v>1993083.9529617853</v>
      </c>
      <c r="I52" s="4">
        <v>31</v>
      </c>
      <c r="J52" s="8">
        <f t="shared" si="1"/>
        <v>1.5553785355570711</v>
      </c>
    </row>
    <row r="53" spans="1:10" s="3" customFormat="1" x14ac:dyDescent="0.3">
      <c r="B53" s="1" t="s">
        <v>16</v>
      </c>
      <c r="C53" s="1"/>
      <c r="D53" s="1"/>
      <c r="E53" s="1"/>
      <c r="F53" s="1">
        <v>6572</v>
      </c>
      <c r="G53" s="3">
        <v>968.88570000000004</v>
      </c>
      <c r="H53" s="11">
        <f t="shared" si="8"/>
        <v>678304.98478819535</v>
      </c>
      <c r="I53" s="3">
        <v>6</v>
      </c>
      <c r="J53" s="12">
        <f t="shared" si="1"/>
        <v>0.88455785149117472</v>
      </c>
    </row>
    <row r="54" spans="1:10" s="3" customFormat="1" x14ac:dyDescent="0.3">
      <c r="B54" s="1" t="s">
        <v>18</v>
      </c>
      <c r="C54" s="1"/>
      <c r="D54" s="1"/>
      <c r="E54" s="1"/>
      <c r="F54" s="1">
        <v>2404</v>
      </c>
      <c r="G54" s="3">
        <v>730.01570000000004</v>
      </c>
      <c r="H54" s="11">
        <f t="shared" si="8"/>
        <v>329307.986115915</v>
      </c>
      <c r="I54" s="3">
        <v>2</v>
      </c>
      <c r="J54" s="12">
        <f t="shared" si="1"/>
        <v>0.60733419301164737</v>
      </c>
    </row>
    <row r="55" spans="1:10" s="3" customFormat="1" x14ac:dyDescent="0.3">
      <c r="B55" s="1" t="s">
        <v>19</v>
      </c>
      <c r="C55" s="1"/>
      <c r="D55" s="1"/>
      <c r="E55" s="1"/>
      <c r="F55" s="1">
        <v>2368</v>
      </c>
      <c r="G55" s="3">
        <v>838.06989999999996</v>
      </c>
      <c r="H55" s="11">
        <f t="shared" si="8"/>
        <v>282553.99698760215</v>
      </c>
      <c r="I55" s="3">
        <v>3</v>
      </c>
      <c r="J55" s="12">
        <f t="shared" si="1"/>
        <v>1.0617439611486486</v>
      </c>
    </row>
    <row r="56" spans="1:10" s="3" customFormat="1" x14ac:dyDescent="0.3">
      <c r="B56" s="1" t="s">
        <v>20</v>
      </c>
      <c r="C56" s="1"/>
      <c r="D56" s="1"/>
      <c r="E56" s="1"/>
      <c r="F56" s="1">
        <v>1840</v>
      </c>
      <c r="G56" s="3">
        <v>843.01969999999994</v>
      </c>
      <c r="H56" s="11">
        <f t="shared" si="8"/>
        <v>218262.98958375471</v>
      </c>
      <c r="I56" s="3">
        <v>11</v>
      </c>
      <c r="J56" s="12">
        <f t="shared" si="1"/>
        <v>5.0397916847826076</v>
      </c>
    </row>
    <row r="57" spans="1:10" s="3" customFormat="1" x14ac:dyDescent="0.3">
      <c r="B57" s="1" t="s">
        <v>21</v>
      </c>
      <c r="C57" s="1"/>
      <c r="D57" s="1"/>
      <c r="E57" s="1"/>
      <c r="F57" s="1">
        <v>1323</v>
      </c>
      <c r="G57" s="3">
        <v>593.32680000000005</v>
      </c>
      <c r="H57" s="11">
        <f t="shared" si="8"/>
        <v>222979.98337509783</v>
      </c>
      <c r="I57" s="3">
        <v>3</v>
      </c>
      <c r="J57" s="12">
        <f t="shared" si="1"/>
        <v>1.3454122448979593</v>
      </c>
    </row>
    <row r="58" spans="1:10" s="3" customFormat="1" x14ac:dyDescent="0.3">
      <c r="B58" s="1" t="s">
        <v>22</v>
      </c>
      <c r="C58" s="1"/>
      <c r="D58" s="1"/>
      <c r="E58" s="1"/>
      <c r="F58" s="1">
        <v>1599</v>
      </c>
      <c r="G58" s="3">
        <v>611.06569999999999</v>
      </c>
      <c r="H58" s="11">
        <f t="shared" si="8"/>
        <v>261673.99021087258</v>
      </c>
      <c r="I58" s="3">
        <v>6</v>
      </c>
      <c r="J58" s="12">
        <f t="shared" si="1"/>
        <v>2.2929294559099436</v>
      </c>
    </row>
    <row r="59" spans="1:10" s="4" customFormat="1" x14ac:dyDescent="0.3">
      <c r="A59" s="4">
        <v>2012</v>
      </c>
      <c r="B59" s="4" t="s">
        <v>14</v>
      </c>
      <c r="E59" s="5"/>
      <c r="F59" s="5">
        <v>17379</v>
      </c>
      <c r="G59" s="4">
        <v>857.92229999999995</v>
      </c>
      <c r="H59" s="7">
        <f t="shared" ref="H59:H65" si="9">F59/G59*100000</f>
        <v>2025707.9225006741</v>
      </c>
      <c r="I59" s="4">
        <v>58</v>
      </c>
      <c r="J59" s="8">
        <f t="shared" si="1"/>
        <v>2.8631965820818226</v>
      </c>
    </row>
    <row r="60" spans="1:10" s="3" customFormat="1" x14ac:dyDescent="0.3">
      <c r="B60" s="1" t="s">
        <v>16</v>
      </c>
      <c r="C60" s="1"/>
      <c r="D60" s="1"/>
      <c r="E60" s="1"/>
      <c r="F60" s="1">
        <v>7288</v>
      </c>
      <c r="G60" s="3">
        <v>1070.4864</v>
      </c>
      <c r="H60" s="11">
        <f t="shared" si="9"/>
        <v>680812.01218436775</v>
      </c>
      <c r="I60" s="3">
        <v>7</v>
      </c>
      <c r="J60" s="12">
        <f t="shared" si="1"/>
        <v>1.028183973655324</v>
      </c>
    </row>
    <row r="61" spans="1:10" s="3" customFormat="1" x14ac:dyDescent="0.3">
      <c r="B61" s="1" t="s">
        <v>18</v>
      </c>
      <c r="C61" s="1"/>
      <c r="D61" s="1"/>
      <c r="E61" s="1"/>
      <c r="F61" s="1">
        <v>2452</v>
      </c>
      <c r="G61" s="3">
        <v>744.59169999999995</v>
      </c>
      <c r="H61" s="11">
        <f t="shared" si="9"/>
        <v>329307.99524088175</v>
      </c>
      <c r="I61" s="3">
        <v>7</v>
      </c>
      <c r="J61" s="12">
        <f t="shared" si="1"/>
        <v>2.1256696166394775</v>
      </c>
    </row>
    <row r="62" spans="1:10" s="3" customFormat="1" x14ac:dyDescent="0.3">
      <c r="B62" s="1" t="s">
        <v>19</v>
      </c>
      <c r="C62" s="1"/>
      <c r="D62" s="1"/>
      <c r="E62" s="1"/>
      <c r="F62" s="1">
        <v>2693</v>
      </c>
      <c r="G62" s="3">
        <v>953.09220000000005</v>
      </c>
      <c r="H62" s="11">
        <f t="shared" si="9"/>
        <v>282553.98585782154</v>
      </c>
      <c r="I62" s="3">
        <v>5</v>
      </c>
      <c r="J62" s="12">
        <f t="shared" si="1"/>
        <v>1.769573338284441</v>
      </c>
    </row>
    <row r="63" spans="1:10" s="3" customFormat="1" x14ac:dyDescent="0.3">
      <c r="B63" s="1" t="s">
        <v>20</v>
      </c>
      <c r="C63" s="1"/>
      <c r="D63" s="1"/>
      <c r="E63" s="1"/>
      <c r="F63" s="1">
        <v>1894</v>
      </c>
      <c r="G63" s="3">
        <v>867.76049999999998</v>
      </c>
      <c r="H63" s="11">
        <f t="shared" si="9"/>
        <v>218262.98846283049</v>
      </c>
      <c r="I63" s="3">
        <v>11</v>
      </c>
      <c r="J63" s="12">
        <f t="shared" si="1"/>
        <v>5.0397917106652583</v>
      </c>
    </row>
    <row r="64" spans="1:10" s="3" customFormat="1" x14ac:dyDescent="0.3">
      <c r="B64" s="1" t="s">
        <v>21</v>
      </c>
      <c r="C64" s="1"/>
      <c r="D64" s="1"/>
      <c r="E64" s="1"/>
      <c r="F64" s="1">
        <v>1415</v>
      </c>
      <c r="G64" s="3">
        <v>634.58609999999999</v>
      </c>
      <c r="H64" s="11">
        <f t="shared" si="9"/>
        <v>222979.98648252775</v>
      </c>
      <c r="I64" s="3">
        <v>11</v>
      </c>
      <c r="J64" s="12">
        <f t="shared" si="1"/>
        <v>4.93317816254417</v>
      </c>
    </row>
    <row r="65" spans="1:12" s="3" customFormat="1" x14ac:dyDescent="0.3">
      <c r="B65" s="1" t="s">
        <v>22</v>
      </c>
      <c r="C65" s="1"/>
      <c r="D65" s="1"/>
      <c r="E65" s="1"/>
      <c r="F65" s="1">
        <v>1621</v>
      </c>
      <c r="G65" s="3">
        <v>619.47310000000004</v>
      </c>
      <c r="H65" s="11">
        <f t="shared" si="9"/>
        <v>261673.99359229641</v>
      </c>
      <c r="I65" s="3">
        <v>17</v>
      </c>
      <c r="J65" s="12">
        <f t="shared" si="1"/>
        <v>6.4966333744602105</v>
      </c>
    </row>
    <row r="66" spans="1:12" s="4" customFormat="1" x14ac:dyDescent="0.3">
      <c r="A66" s="4">
        <v>2013</v>
      </c>
      <c r="B66" s="4" t="s">
        <v>14</v>
      </c>
      <c r="E66" s="5"/>
      <c r="F66" s="5">
        <v>16266</v>
      </c>
      <c r="G66" s="4">
        <v>782.36</v>
      </c>
      <c r="H66" s="7">
        <f t="shared" ref="H66:H72" si="10">F66/G66*100000</f>
        <v>2079094.0232118207</v>
      </c>
      <c r="I66" s="4">
        <v>168</v>
      </c>
      <c r="J66" s="8">
        <f t="shared" si="1"/>
        <v>8.0804426410918477</v>
      </c>
    </row>
    <row r="67" spans="1:12" s="3" customFormat="1" x14ac:dyDescent="0.3">
      <c r="B67" s="1" t="s">
        <v>16</v>
      </c>
      <c r="C67" s="1"/>
      <c r="D67" s="1"/>
      <c r="E67" s="1"/>
      <c r="F67" s="1">
        <v>6364</v>
      </c>
      <c r="G67" s="3">
        <v>899.40869999999995</v>
      </c>
      <c r="H67" s="11">
        <f t="shared" si="10"/>
        <v>707575.98853557906</v>
      </c>
      <c r="I67" s="3">
        <v>17</v>
      </c>
      <c r="J67" s="12">
        <f t="shared" ref="J67:J79" si="11">I67/H67*100000</f>
        <v>2.4025688089252042</v>
      </c>
    </row>
    <row r="68" spans="1:12" s="3" customFormat="1" x14ac:dyDescent="0.3">
      <c r="B68" s="1" t="s">
        <v>18</v>
      </c>
      <c r="C68" s="1"/>
      <c r="D68" s="1"/>
      <c r="E68" s="1"/>
      <c r="F68" s="1">
        <v>2210</v>
      </c>
      <c r="G68" s="3">
        <v>643.33770000000004</v>
      </c>
      <c r="H68" s="11">
        <f t="shared" si="10"/>
        <v>343520.98439124582</v>
      </c>
      <c r="I68" s="3">
        <v>22</v>
      </c>
      <c r="J68" s="12">
        <f t="shared" si="11"/>
        <v>6.404266696832579</v>
      </c>
    </row>
    <row r="69" spans="1:12" s="3" customFormat="1" x14ac:dyDescent="0.3">
      <c r="B69" s="1" t="s">
        <v>19</v>
      </c>
      <c r="C69" s="1"/>
      <c r="D69" s="1"/>
      <c r="E69" s="1"/>
      <c r="F69" s="1">
        <v>2814</v>
      </c>
      <c r="G69" s="3">
        <v>954.72029999999995</v>
      </c>
      <c r="H69" s="11">
        <f t="shared" si="10"/>
        <v>294746.01095210819</v>
      </c>
      <c r="I69" s="3">
        <v>14</v>
      </c>
      <c r="J69" s="12">
        <f t="shared" si="11"/>
        <v>4.7498522388059703</v>
      </c>
    </row>
    <row r="70" spans="1:12" s="3" customFormat="1" x14ac:dyDescent="0.3">
      <c r="B70" s="1" t="s">
        <v>20</v>
      </c>
      <c r="C70" s="1"/>
      <c r="D70" s="1"/>
      <c r="E70" s="1"/>
      <c r="F70" s="1">
        <v>1599</v>
      </c>
      <c r="G70" s="3">
        <v>702.30759999999998</v>
      </c>
      <c r="H70" s="11">
        <f t="shared" si="10"/>
        <v>227678.01459075767</v>
      </c>
      <c r="I70" s="3">
        <v>22</v>
      </c>
      <c r="J70" s="12">
        <f t="shared" si="11"/>
        <v>9.6627687304565342</v>
      </c>
    </row>
    <row r="71" spans="1:12" s="3" customFormat="1" x14ac:dyDescent="0.3">
      <c r="B71" s="1" t="s">
        <v>21</v>
      </c>
      <c r="C71" s="1"/>
      <c r="D71" s="1"/>
      <c r="E71" s="1"/>
      <c r="F71" s="1">
        <v>1669</v>
      </c>
      <c r="G71" s="3">
        <v>717.52850000000001</v>
      </c>
      <c r="H71" s="11">
        <f t="shared" si="10"/>
        <v>232604.00109542685</v>
      </c>
      <c r="I71" s="3">
        <v>24</v>
      </c>
      <c r="J71" s="12">
        <f t="shared" si="11"/>
        <v>10.317965248651889</v>
      </c>
    </row>
    <row r="72" spans="1:12" s="3" customFormat="1" x14ac:dyDescent="0.3">
      <c r="B72" s="1" t="s">
        <v>22</v>
      </c>
      <c r="C72" s="1"/>
      <c r="D72" s="1"/>
      <c r="E72" s="1"/>
      <c r="F72" s="1">
        <v>1610</v>
      </c>
      <c r="G72" s="3">
        <v>589.81060000000002</v>
      </c>
      <c r="H72" s="11">
        <f t="shared" si="10"/>
        <v>272968.98360253271</v>
      </c>
      <c r="I72" s="3">
        <v>69</v>
      </c>
      <c r="J72" s="12">
        <f t="shared" si="11"/>
        <v>25.27759714285715</v>
      </c>
    </row>
    <row r="73" spans="1:12" s="4" customFormat="1" x14ac:dyDescent="0.3">
      <c r="A73" s="4">
        <v>2014</v>
      </c>
      <c r="B73" s="4" t="s">
        <v>14</v>
      </c>
      <c r="C73" s="4">
        <v>15115</v>
      </c>
      <c r="D73" s="4">
        <v>713.92809999999997</v>
      </c>
      <c r="E73" s="5">
        <f t="shared" ref="E73:E79" si="12">C73/D73*100000</f>
        <v>2117159.9773142422</v>
      </c>
      <c r="F73" s="5">
        <v>15058</v>
      </c>
      <c r="G73" s="4">
        <v>711.23580000000004</v>
      </c>
      <c r="H73" s="7">
        <f t="shared" ref="H73:H79" si="13">F73/G73*100000</f>
        <v>2117160.0192228793</v>
      </c>
      <c r="I73" s="4">
        <v>461</v>
      </c>
      <c r="J73" s="8">
        <f t="shared" si="11"/>
        <v>21.77445237083278</v>
      </c>
    </row>
    <row r="74" spans="1:12" s="3" customFormat="1" x14ac:dyDescent="0.3">
      <c r="B74" s="1" t="s">
        <v>16</v>
      </c>
      <c r="C74" s="1">
        <v>5403</v>
      </c>
      <c r="D74" s="1">
        <v>749.86469999999997</v>
      </c>
      <c r="E74" s="1">
        <f t="shared" si="12"/>
        <v>720529.98360904306</v>
      </c>
      <c r="F74" s="1">
        <v>5382</v>
      </c>
      <c r="G74" s="1">
        <v>746.9502</v>
      </c>
      <c r="H74" s="11">
        <f t="shared" si="13"/>
        <v>720529.96304171288</v>
      </c>
      <c r="I74" s="3">
        <v>84</v>
      </c>
      <c r="J74" s="12">
        <f t="shared" si="11"/>
        <v>11.658085618729096</v>
      </c>
    </row>
    <row r="75" spans="1:12" s="3" customFormat="1" x14ac:dyDescent="0.3">
      <c r="B75" s="1" t="s">
        <v>18</v>
      </c>
      <c r="C75" s="1">
        <v>2195</v>
      </c>
      <c r="D75" s="1">
        <v>627.48170000000005</v>
      </c>
      <c r="E75" s="1">
        <f t="shared" si="12"/>
        <v>349810.99847214663</v>
      </c>
      <c r="F75" s="1">
        <v>2173</v>
      </c>
      <c r="G75" s="1">
        <v>621.19259999999997</v>
      </c>
      <c r="H75" s="11">
        <f t="shared" si="13"/>
        <v>349810.99259714299</v>
      </c>
      <c r="I75" s="3">
        <v>67</v>
      </c>
      <c r="J75" s="12">
        <f t="shared" si="11"/>
        <v>19.153200276115967</v>
      </c>
    </row>
    <row r="76" spans="1:12" s="3" customFormat="1" x14ac:dyDescent="0.3">
      <c r="B76" s="1" t="s">
        <v>19</v>
      </c>
      <c r="C76" s="1">
        <v>2777</v>
      </c>
      <c r="D76" s="1">
        <v>925.2287</v>
      </c>
      <c r="E76" s="1">
        <f t="shared" si="12"/>
        <v>300142.00813269196</v>
      </c>
      <c r="F76" s="1">
        <v>2774</v>
      </c>
      <c r="G76" s="1">
        <v>924.22919999999999</v>
      </c>
      <c r="H76" s="11">
        <f t="shared" si="13"/>
        <v>300141.99940880464</v>
      </c>
      <c r="I76" s="3">
        <v>38</v>
      </c>
      <c r="J76" s="12">
        <f t="shared" si="11"/>
        <v>12.660673972602739</v>
      </c>
    </row>
    <row r="77" spans="1:12" s="3" customFormat="1" x14ac:dyDescent="0.3">
      <c r="B77" s="1" t="s">
        <v>20</v>
      </c>
      <c r="C77" s="1">
        <v>1679</v>
      </c>
      <c r="D77" s="1">
        <v>724.18449999999996</v>
      </c>
      <c r="E77" s="1">
        <f t="shared" si="12"/>
        <v>231846.99479207303</v>
      </c>
      <c r="F77" s="1">
        <v>1677</v>
      </c>
      <c r="G77" s="1">
        <v>723.32180000000005</v>
      </c>
      <c r="H77" s="11">
        <f t="shared" si="13"/>
        <v>231847.01470355238</v>
      </c>
      <c r="I77" s="3">
        <v>74</v>
      </c>
      <c r="J77" s="12">
        <f t="shared" si="11"/>
        <v>31.91759880739416</v>
      </c>
    </row>
    <row r="78" spans="1:12" s="3" customFormat="1" x14ac:dyDescent="0.3">
      <c r="B78" s="1" t="s">
        <v>21</v>
      </c>
      <c r="C78" s="1">
        <v>1335</v>
      </c>
      <c r="D78" s="1">
        <v>563.61689999999999</v>
      </c>
      <c r="E78" s="1">
        <f t="shared" si="12"/>
        <v>236863.01812454525</v>
      </c>
      <c r="F78" s="1">
        <v>1334</v>
      </c>
      <c r="G78" s="1">
        <v>563.19479999999999</v>
      </c>
      <c r="H78" s="11">
        <f t="shared" si="13"/>
        <v>236862.98239969547</v>
      </c>
      <c r="I78" s="3">
        <v>35</v>
      </c>
      <c r="J78" s="12">
        <f t="shared" si="11"/>
        <v>14.776475262368814</v>
      </c>
    </row>
    <row r="79" spans="1:12" s="3" customFormat="1" x14ac:dyDescent="0.3">
      <c r="B79" s="1" t="s">
        <v>22</v>
      </c>
      <c r="C79" s="1">
        <v>1726</v>
      </c>
      <c r="D79" s="1">
        <v>620.93700000000001</v>
      </c>
      <c r="E79" s="1">
        <f t="shared" si="12"/>
        <v>277967.0079251196</v>
      </c>
      <c r="F79" s="1">
        <v>1718</v>
      </c>
      <c r="G79" s="1">
        <v>618.05899999999997</v>
      </c>
      <c r="H79" s="11">
        <f t="shared" si="13"/>
        <v>277966.9902064366</v>
      </c>
      <c r="I79" s="3">
        <v>163</v>
      </c>
      <c r="J79" s="12">
        <f t="shared" si="11"/>
        <v>58.640056461001166</v>
      </c>
    </row>
    <row r="80" spans="1:12" s="8" customFormat="1" x14ac:dyDescent="0.3">
      <c r="A80" s="4">
        <v>2015</v>
      </c>
      <c r="B80" s="5" t="s">
        <v>14</v>
      </c>
      <c r="C80" s="5">
        <v>4915</v>
      </c>
      <c r="D80" s="5">
        <v>229.61109999999999</v>
      </c>
      <c r="E80" s="5">
        <f>C80/D80*100000</f>
        <v>2140575.9564759717</v>
      </c>
      <c r="F80" s="6">
        <v>4886</v>
      </c>
      <c r="G80" s="6">
        <v>228.25630000000001</v>
      </c>
      <c r="H80" s="7">
        <f>F80/G80*100000</f>
        <v>2140576.1856299257</v>
      </c>
      <c r="I80" s="8">
        <v>483</v>
      </c>
      <c r="J80" s="8">
        <f>I80/H80*100000</f>
        <v>22.564018194842408</v>
      </c>
      <c r="K80" s="8" t="s">
        <v>15</v>
      </c>
      <c r="L80" s="8">
        <f>I80+I87+I94+I101+I108+I115+I122+I129+I136+I143+I73+I66+I59+I52+I45+I38+I31+I24+I17+I10+I3</f>
        <v>5712</v>
      </c>
    </row>
    <row r="81" spans="1:16" x14ac:dyDescent="0.3">
      <c r="A81" s="3"/>
      <c r="B81" s="1" t="s">
        <v>16</v>
      </c>
      <c r="C81" s="1">
        <v>1667</v>
      </c>
      <c r="D81" s="9">
        <v>228.767</v>
      </c>
      <c r="E81" s="1">
        <f t="shared" ref="E81:E86" si="14">C81/D81*100000</f>
        <v>728689.01546114613</v>
      </c>
      <c r="F81" s="10">
        <v>1660</v>
      </c>
      <c r="G81" s="10">
        <v>227.8064</v>
      </c>
      <c r="H81" s="11">
        <f t="shared" ref="H81:H144" si="15">F81/G81*100000</f>
        <v>728688.92182133603</v>
      </c>
      <c r="I81" s="12">
        <v>52</v>
      </c>
      <c r="J81" s="12">
        <f t="shared" ref="J81:J144" si="16">I81/H81*100000</f>
        <v>7.1361040963855418</v>
      </c>
      <c r="K81" s="12" t="s">
        <v>17</v>
      </c>
      <c r="L81" s="12">
        <f>H80+H87+H94+H101+H108+H115+H122+H129+H136+H143+H73+H66+H59+H52+H45+H38+H31+H24+H17+H10+H3</f>
        <v>43721456.589546375</v>
      </c>
    </row>
    <row r="82" spans="1:16" x14ac:dyDescent="0.3">
      <c r="A82" s="3"/>
      <c r="B82" s="1" t="s">
        <v>18</v>
      </c>
      <c r="C82" s="1">
        <v>795</v>
      </c>
      <c r="D82" s="1">
        <v>224.87549999999999</v>
      </c>
      <c r="E82" s="1">
        <f t="shared" si="14"/>
        <v>353528.95268715359</v>
      </c>
      <c r="F82" s="10">
        <v>775</v>
      </c>
      <c r="G82" s="10">
        <v>219.2182</v>
      </c>
      <c r="H82" s="11">
        <f t="shared" si="15"/>
        <v>353529.04092817107</v>
      </c>
      <c r="I82" s="12">
        <v>82</v>
      </c>
      <c r="J82" s="12">
        <f t="shared" si="16"/>
        <v>23.194699870967746</v>
      </c>
      <c r="K82" s="12" t="s">
        <v>11</v>
      </c>
      <c r="L82" s="12">
        <f>L80/L81*100000</f>
        <v>13.064523567052696</v>
      </c>
    </row>
    <row r="83" spans="1:16" x14ac:dyDescent="0.3">
      <c r="A83" s="3"/>
      <c r="B83" s="1" t="s">
        <v>19</v>
      </c>
      <c r="C83" s="1">
        <v>1260</v>
      </c>
      <c r="D83" s="1">
        <v>415.28919999999999</v>
      </c>
      <c r="E83" s="1">
        <f t="shared" si="14"/>
        <v>303403.02613215079</v>
      </c>
      <c r="F83" s="10">
        <v>1260</v>
      </c>
      <c r="G83" s="10">
        <v>415.28919999999999</v>
      </c>
      <c r="H83" s="11">
        <f t="shared" si="15"/>
        <v>303403.02613215079</v>
      </c>
      <c r="I83" s="12">
        <v>29</v>
      </c>
      <c r="J83" s="12">
        <f t="shared" si="16"/>
        <v>9.5582434920634931</v>
      </c>
    </row>
    <row r="84" spans="1:16" x14ac:dyDescent="0.3">
      <c r="A84" s="3"/>
      <c r="B84" s="1" t="s">
        <v>20</v>
      </c>
      <c r="C84" s="1">
        <v>480</v>
      </c>
      <c r="D84" s="1">
        <v>204.71270000000001</v>
      </c>
      <c r="E84" s="1">
        <f t="shared" si="14"/>
        <v>234474.94952682467</v>
      </c>
      <c r="F84" s="10">
        <v>480</v>
      </c>
      <c r="G84" s="10">
        <v>204.71270000000001</v>
      </c>
      <c r="H84" s="11">
        <f t="shared" si="15"/>
        <v>234474.94952682467</v>
      </c>
      <c r="I84" s="12">
        <v>133</v>
      </c>
      <c r="J84" s="12">
        <f t="shared" si="16"/>
        <v>56.722477291666664</v>
      </c>
    </row>
    <row r="85" spans="1:16" x14ac:dyDescent="0.3">
      <c r="A85" s="3"/>
      <c r="B85" s="1" t="s">
        <v>21</v>
      </c>
      <c r="C85" s="1">
        <v>273</v>
      </c>
      <c r="D85" s="1">
        <v>113.97750000000001</v>
      </c>
      <c r="E85" s="1">
        <f t="shared" si="14"/>
        <v>239520.95808383232</v>
      </c>
      <c r="F85" s="10">
        <v>273</v>
      </c>
      <c r="G85" s="10">
        <v>113.97750000000001</v>
      </c>
      <c r="H85" s="11">
        <f t="shared" si="15"/>
        <v>239520.95808383232</v>
      </c>
      <c r="I85" s="12">
        <v>65</v>
      </c>
      <c r="J85" s="12">
        <f t="shared" si="16"/>
        <v>27.137500000000003</v>
      </c>
    </row>
    <row r="86" spans="1:16" x14ac:dyDescent="0.3">
      <c r="A86" s="3"/>
      <c r="B86" s="1" t="s">
        <v>22</v>
      </c>
      <c r="C86" s="1">
        <v>440</v>
      </c>
      <c r="D86" s="1">
        <v>156.60650000000001</v>
      </c>
      <c r="E86" s="1">
        <f t="shared" si="14"/>
        <v>280958.96402767446</v>
      </c>
      <c r="F86" s="10">
        <v>438</v>
      </c>
      <c r="G86" s="10">
        <v>155.8946</v>
      </c>
      <c r="H86" s="11">
        <f t="shared" si="15"/>
        <v>280959.05823550018</v>
      </c>
      <c r="I86" s="12">
        <v>122</v>
      </c>
      <c r="J86" s="12">
        <f t="shared" si="16"/>
        <v>43.422696803652961</v>
      </c>
      <c r="L86" s="12" t="s">
        <v>23</v>
      </c>
      <c r="N86" s="12" t="s">
        <v>10</v>
      </c>
      <c r="O86" s="12" t="s">
        <v>17</v>
      </c>
    </row>
    <row r="87" spans="1:16" s="8" customFormat="1" x14ac:dyDescent="0.3">
      <c r="A87" s="4">
        <v>2016</v>
      </c>
      <c r="B87" s="5" t="s">
        <v>14</v>
      </c>
      <c r="C87" s="5">
        <v>4729</v>
      </c>
      <c r="D87" s="5">
        <v>218.5103</v>
      </c>
      <c r="E87" s="5"/>
      <c r="F87" s="6">
        <v>4706</v>
      </c>
      <c r="G87" s="6">
        <v>217.44759999999999</v>
      </c>
      <c r="H87" s="7">
        <f t="shared" si="15"/>
        <v>2164199.5588822318</v>
      </c>
      <c r="I87" s="8">
        <v>378</v>
      </c>
      <c r="J87" s="8">
        <f t="shared" si="16"/>
        <v>17.466041818954526</v>
      </c>
      <c r="M87" s="5" t="s">
        <v>16</v>
      </c>
      <c r="N87" s="8">
        <f>I81+I88+I95+I102+I109+I116+I123+I130+I137+I144+I74+I67+I60+I53+I46+I39+I32+I25+I18+I11+I4</f>
        <v>669</v>
      </c>
      <c r="O87" s="8">
        <f>H81+H88+H95+H102+H109+H116+H123+H130+H137+H144+H74+H67+H60+H53+H46+H39+H32+H25+H18+H11+H4</f>
        <v>13577403.315606384</v>
      </c>
      <c r="P87" s="8">
        <f t="shared" ref="P87:P92" si="17">N87/O87*100000</f>
        <v>4.9273044664661763</v>
      </c>
    </row>
    <row r="88" spans="1:16" x14ac:dyDescent="0.3">
      <c r="A88" s="3"/>
      <c r="B88" s="1" t="s">
        <v>16</v>
      </c>
      <c r="C88" s="1">
        <v>1487</v>
      </c>
      <c r="D88" s="1">
        <v>201.90610000000001</v>
      </c>
      <c r="E88" s="1"/>
      <c r="F88" s="10">
        <v>1477</v>
      </c>
      <c r="G88" s="10">
        <v>200.54830000000001</v>
      </c>
      <c r="H88" s="11">
        <f t="shared" si="15"/>
        <v>736480.93750981672</v>
      </c>
      <c r="I88" s="12">
        <v>45</v>
      </c>
      <c r="J88" s="12">
        <f t="shared" si="16"/>
        <v>6.1101377792823293</v>
      </c>
      <c r="M88" s="1" t="s">
        <v>18</v>
      </c>
      <c r="N88" s="12">
        <f>I89+I96+I103+I110+I117+I124+I131+I138+I145+I82+I75+I68+I61+I54+I47+I40+I33+I26+I19+I12+I5</f>
        <v>709</v>
      </c>
      <c r="O88" s="12">
        <f>H89+H96+H103+H110+H117+H124+H131+H138+H145+H82+H75+H68+H61+H54+H47+H40+H33+H26+H19+H12+H5</f>
        <v>6916932.7975647449</v>
      </c>
      <c r="P88" s="12">
        <f t="shared" si="17"/>
        <v>10.250208014882242</v>
      </c>
    </row>
    <row r="89" spans="1:16" x14ac:dyDescent="0.3">
      <c r="A89" s="3"/>
      <c r="B89" s="1" t="s">
        <v>18</v>
      </c>
      <c r="C89" s="1">
        <v>891</v>
      </c>
      <c r="D89" s="1">
        <v>249.23560000000001</v>
      </c>
      <c r="E89" s="1"/>
      <c r="F89" s="10">
        <v>883</v>
      </c>
      <c r="G89" s="10">
        <v>246.99780000000001</v>
      </c>
      <c r="H89" s="11">
        <f t="shared" si="15"/>
        <v>357493.06269124663</v>
      </c>
      <c r="I89" s="12">
        <v>43</v>
      </c>
      <c r="J89" s="12">
        <f t="shared" si="16"/>
        <v>12.028205436013591</v>
      </c>
      <c r="M89" s="1" t="s">
        <v>19</v>
      </c>
      <c r="N89" s="12">
        <f>I83+I90+I97+I104+I111+I118+I125+I132+I139+I146+I76+I69+I62+I55+I48+I41+I34+I27+I20+I13+I6</f>
        <v>678</v>
      </c>
      <c r="O89" s="12">
        <f>H83+H90+H97+H104+H111+H118+H125+H132+H139+H146+H76+H69+H62+H55+H48+H41+H34+H27+H20+H13+H6</f>
        <v>6896168.4397402648</v>
      </c>
      <c r="P89" s="12">
        <f t="shared" si="17"/>
        <v>9.8315464003593274</v>
      </c>
    </row>
    <row r="90" spans="1:16" x14ac:dyDescent="0.3">
      <c r="A90" s="3"/>
      <c r="B90" s="1" t="s">
        <v>19</v>
      </c>
      <c r="C90" s="1">
        <v>1221</v>
      </c>
      <c r="D90" s="1">
        <v>397.97269999999997</v>
      </c>
      <c r="E90" s="1"/>
      <c r="F90" s="10">
        <v>1218</v>
      </c>
      <c r="G90" s="10">
        <v>396.9948</v>
      </c>
      <c r="H90" s="11">
        <f t="shared" si="15"/>
        <v>306805.02616155171</v>
      </c>
      <c r="I90" s="12">
        <v>34</v>
      </c>
      <c r="J90" s="12">
        <f t="shared" si="16"/>
        <v>11.081956650246306</v>
      </c>
      <c r="M90" s="1" t="s">
        <v>20</v>
      </c>
      <c r="N90" s="12">
        <f>I84+I91+I98+I105+I112+I119+I126+I133+I140+I147+I77+I70+I63+I56+I49+I42+I35+I28+I21+I14+I7</f>
        <v>976</v>
      </c>
      <c r="O90" s="12">
        <f>H84+H91+H98+H105+H112+H119+H126+H133+H140+H147+H77+H70+H63+H56+H49+H42+H35+H28+H21+H14+H7</f>
        <v>5096960.852353638</v>
      </c>
      <c r="P90" s="12">
        <f t="shared" si="17"/>
        <v>19.14866580835734</v>
      </c>
    </row>
    <row r="91" spans="1:16" x14ac:dyDescent="0.3">
      <c r="A91" s="3"/>
      <c r="B91" s="1" t="s">
        <v>20</v>
      </c>
      <c r="C91" s="1">
        <v>396</v>
      </c>
      <c r="D91" s="1">
        <v>167.0153</v>
      </c>
      <c r="E91" s="1"/>
      <c r="F91" s="10">
        <v>396</v>
      </c>
      <c r="G91" s="10">
        <v>167.0153</v>
      </c>
      <c r="H91" s="11">
        <f t="shared" si="15"/>
        <v>237104.02579883399</v>
      </c>
      <c r="I91" s="12">
        <v>59</v>
      </c>
      <c r="J91" s="12">
        <f t="shared" si="16"/>
        <v>24.88359267676768</v>
      </c>
      <c r="M91" s="1" t="s">
        <v>21</v>
      </c>
      <c r="N91" s="12">
        <f>I92+I85+I99+I106+I113+I120+I127+I134+I141+I148+I78+I71+I64+I57+I50+I43+I36+I29+I22+I15+I8</f>
        <v>1140</v>
      </c>
      <c r="O91" s="12">
        <f>H85+H92+H99+H106+H113+H120+H127+H134+H141+H148+H78+H71+H64+H57+H50+H43+H36+H29+H22+H15+H8</f>
        <v>5139289.6683317265</v>
      </c>
      <c r="P91" s="12">
        <f t="shared" si="17"/>
        <v>22.182053816204863</v>
      </c>
    </row>
    <row r="92" spans="1:16" x14ac:dyDescent="0.3">
      <c r="A92" s="3"/>
      <c r="B92" s="1" t="s">
        <v>21</v>
      </c>
      <c r="C92" s="1">
        <v>268</v>
      </c>
      <c r="D92" s="1">
        <v>110.64919999999999</v>
      </c>
      <c r="E92" s="1"/>
      <c r="F92" s="10">
        <v>267</v>
      </c>
      <c r="G92" s="10">
        <v>110.2363</v>
      </c>
      <c r="H92" s="11">
        <f t="shared" si="15"/>
        <v>242206.96812211585</v>
      </c>
      <c r="I92" s="12">
        <v>58</v>
      </c>
      <c r="J92" s="12">
        <f t="shared" si="16"/>
        <v>23.946462172284644</v>
      </c>
      <c r="M92" s="1" t="s">
        <v>22</v>
      </c>
      <c r="N92" s="12">
        <f>I86+I93+I100+I107+I114+I121+I128+I135+I142+I149+I79+I72+I65+I58+I51+I44+I37+I30+I23+I16+I9</f>
        <v>1540</v>
      </c>
      <c r="O92" s="12">
        <f>H86+H93+H100+H107+H114+H121+H128+H135+H142+H149+H79+H72+H65+H58+H51+H44+H37+H30+H23+H16+H9</f>
        <v>5908337.6119129257</v>
      </c>
      <c r="P92" s="12">
        <f t="shared" si="17"/>
        <v>26.064861237700981</v>
      </c>
    </row>
    <row r="93" spans="1:16" x14ac:dyDescent="0.3">
      <c r="A93" s="3"/>
      <c r="B93" s="1" t="s">
        <v>22</v>
      </c>
      <c r="C93" s="1">
        <v>466</v>
      </c>
      <c r="D93" s="9">
        <v>164.02099999999999</v>
      </c>
      <c r="E93" s="1"/>
      <c r="F93" s="10">
        <v>465</v>
      </c>
      <c r="G93" s="10">
        <v>163.66900000000001</v>
      </c>
      <c r="H93" s="11">
        <f t="shared" si="15"/>
        <v>284110.00250505592</v>
      </c>
      <c r="I93" s="12">
        <v>139</v>
      </c>
      <c r="J93" s="12">
        <f t="shared" si="16"/>
        <v>48.92471182795699</v>
      </c>
    </row>
    <row r="94" spans="1:16" s="8" customFormat="1" x14ac:dyDescent="0.3">
      <c r="A94" s="4">
        <v>2017</v>
      </c>
      <c r="B94" s="5" t="s">
        <v>14</v>
      </c>
      <c r="C94" s="6">
        <v>6057</v>
      </c>
      <c r="D94" s="6">
        <v>276.43650000000002</v>
      </c>
      <c r="E94" s="5"/>
      <c r="F94" s="6">
        <v>6036</v>
      </c>
      <c r="G94" s="6">
        <v>275.47809999999998</v>
      </c>
      <c r="H94" s="7">
        <f t="shared" si="15"/>
        <v>2191099.7643732843</v>
      </c>
      <c r="I94" s="8">
        <v>299</v>
      </c>
      <c r="J94" s="8">
        <f t="shared" si="16"/>
        <v>13.646115291583829</v>
      </c>
    </row>
    <row r="95" spans="1:16" x14ac:dyDescent="0.3">
      <c r="A95" s="3"/>
      <c r="B95" s="1" t="s">
        <v>16</v>
      </c>
      <c r="C95" s="10">
        <v>1846</v>
      </c>
      <c r="D95" s="10">
        <v>247.57419999999999</v>
      </c>
      <c r="E95" s="1"/>
      <c r="F95" s="10">
        <v>1837</v>
      </c>
      <c r="G95" s="10">
        <v>246.3672</v>
      </c>
      <c r="H95" s="11">
        <f t="shared" si="15"/>
        <v>745634.97088898206</v>
      </c>
      <c r="I95" s="12">
        <v>34</v>
      </c>
      <c r="J95" s="12">
        <f t="shared" si="16"/>
        <v>4.5598719651605872</v>
      </c>
    </row>
    <row r="96" spans="1:16" x14ac:dyDescent="0.3">
      <c r="A96" s="3"/>
      <c r="B96" s="1" t="s">
        <v>18</v>
      </c>
      <c r="C96" s="10">
        <v>1171</v>
      </c>
      <c r="D96" s="10">
        <v>323.53789999999998</v>
      </c>
      <c r="E96" s="1"/>
      <c r="F96" s="10">
        <v>1160</v>
      </c>
      <c r="G96" s="10">
        <v>320.49869999999999</v>
      </c>
      <c r="H96" s="11">
        <f t="shared" si="15"/>
        <v>361935.94545001275</v>
      </c>
      <c r="I96" s="12">
        <v>59</v>
      </c>
      <c r="J96" s="12">
        <f t="shared" si="16"/>
        <v>16.301226982758621</v>
      </c>
    </row>
    <row r="97" spans="1:10" x14ac:dyDescent="0.3">
      <c r="A97" s="3"/>
      <c r="B97" s="1" t="s">
        <v>19</v>
      </c>
      <c r="C97" s="10">
        <v>1924</v>
      </c>
      <c r="D97" s="10">
        <v>619.40830000000005</v>
      </c>
      <c r="E97" s="1"/>
      <c r="F97" s="10">
        <v>1924</v>
      </c>
      <c r="G97" s="10">
        <v>619.40830000000005</v>
      </c>
      <c r="H97" s="11">
        <f t="shared" si="15"/>
        <v>310619.02141124033</v>
      </c>
      <c r="I97" s="12">
        <v>41</v>
      </c>
      <c r="J97" s="12">
        <f t="shared" si="16"/>
        <v>13.199449220374223</v>
      </c>
    </row>
    <row r="98" spans="1:10" x14ac:dyDescent="0.3">
      <c r="A98" s="3"/>
      <c r="B98" s="1" t="s">
        <v>20</v>
      </c>
      <c r="C98" s="10">
        <v>417</v>
      </c>
      <c r="D98" s="10">
        <v>173.71379999999999</v>
      </c>
      <c r="E98" s="1"/>
      <c r="F98" s="10">
        <v>417</v>
      </c>
      <c r="G98" s="10">
        <v>173.71379999999999</v>
      </c>
      <c r="H98" s="11">
        <f t="shared" si="15"/>
        <v>240050.01329773458</v>
      </c>
      <c r="I98" s="12">
        <v>47</v>
      </c>
      <c r="J98" s="12">
        <f t="shared" si="16"/>
        <v>19.579253237410068</v>
      </c>
    </row>
    <row r="99" spans="1:10" x14ac:dyDescent="0.3">
      <c r="A99" s="3"/>
      <c r="B99" s="1" t="s">
        <v>21</v>
      </c>
      <c r="C99" s="10">
        <v>326</v>
      </c>
      <c r="D99" s="10">
        <v>132.94239999999999</v>
      </c>
      <c r="E99" s="1"/>
      <c r="F99" s="10">
        <v>326</v>
      </c>
      <c r="G99" s="10">
        <v>132.94239999999999</v>
      </c>
      <c r="H99" s="11">
        <f t="shared" si="15"/>
        <v>245218.98205538641</v>
      </c>
      <c r="I99" s="12">
        <v>53</v>
      </c>
      <c r="J99" s="12">
        <f t="shared" si="16"/>
        <v>21.613334969325152</v>
      </c>
    </row>
    <row r="100" spans="1:10" x14ac:dyDescent="0.3">
      <c r="A100" s="3"/>
      <c r="B100" s="1" t="s">
        <v>22</v>
      </c>
      <c r="C100" s="10">
        <v>373</v>
      </c>
      <c r="D100" s="10">
        <v>129.6755</v>
      </c>
      <c r="E100" s="1"/>
      <c r="F100" s="10">
        <v>372</v>
      </c>
      <c r="G100" s="10">
        <v>129.3279</v>
      </c>
      <c r="H100" s="11">
        <f t="shared" si="15"/>
        <v>287640.94986464636</v>
      </c>
      <c r="I100" s="12">
        <v>65</v>
      </c>
      <c r="J100" s="12">
        <f t="shared" si="16"/>
        <v>22.59761693548387</v>
      </c>
    </row>
    <row r="101" spans="1:10" s="8" customFormat="1" x14ac:dyDescent="0.3">
      <c r="A101" s="4">
        <v>2018</v>
      </c>
      <c r="B101" s="5" t="s">
        <v>14</v>
      </c>
      <c r="C101" s="6">
        <v>6650</v>
      </c>
      <c r="D101" s="6">
        <v>298.82400000000001</v>
      </c>
      <c r="E101" s="5"/>
      <c r="F101" s="5">
        <v>6632</v>
      </c>
      <c r="G101" s="6">
        <v>298.01519999999999</v>
      </c>
      <c r="H101" s="7">
        <f t="shared" si="15"/>
        <v>2225389.8458870556</v>
      </c>
      <c r="I101" s="8">
        <v>317</v>
      </c>
      <c r="J101" s="8">
        <f t="shared" si="16"/>
        <v>14.244695174909529</v>
      </c>
    </row>
    <row r="102" spans="1:10" x14ac:dyDescent="0.3">
      <c r="A102" s="3"/>
      <c r="B102" s="1" t="s">
        <v>16</v>
      </c>
      <c r="C102" s="10">
        <v>2114</v>
      </c>
      <c r="D102" s="10">
        <v>279.1481</v>
      </c>
      <c r="E102" s="1"/>
      <c r="F102" s="1">
        <v>2107</v>
      </c>
      <c r="G102" s="10">
        <v>278.22379999999998</v>
      </c>
      <c r="H102" s="11">
        <f t="shared" si="15"/>
        <v>757304.01209386112</v>
      </c>
      <c r="I102" s="12">
        <v>54</v>
      </c>
      <c r="J102" s="12">
        <f t="shared" si="16"/>
        <v>7.1305577598481262</v>
      </c>
    </row>
    <row r="103" spans="1:10" x14ac:dyDescent="0.3">
      <c r="A103" s="3"/>
      <c r="B103" s="1" t="s">
        <v>18</v>
      </c>
      <c r="C103" s="10">
        <v>1235</v>
      </c>
      <c r="D103" s="10">
        <v>335.96300000000002</v>
      </c>
      <c r="E103" s="1"/>
      <c r="F103" s="1">
        <v>1233</v>
      </c>
      <c r="G103" s="10">
        <v>335.41890000000001</v>
      </c>
      <c r="H103" s="11">
        <f t="shared" si="15"/>
        <v>367600.03684944409</v>
      </c>
      <c r="I103" s="12">
        <v>34</v>
      </c>
      <c r="J103" s="12">
        <f t="shared" si="16"/>
        <v>9.2491829683698299</v>
      </c>
    </row>
    <row r="104" spans="1:10" x14ac:dyDescent="0.3">
      <c r="A104" s="3"/>
      <c r="B104" s="1" t="s">
        <v>19</v>
      </c>
      <c r="C104" s="10">
        <v>2088</v>
      </c>
      <c r="D104" s="10">
        <v>661.84649999999999</v>
      </c>
      <c r="E104" s="1"/>
      <c r="F104" s="1">
        <v>2083</v>
      </c>
      <c r="G104" s="10">
        <v>660.26160000000004</v>
      </c>
      <c r="H104" s="11">
        <f t="shared" si="15"/>
        <v>315481.01540359156</v>
      </c>
      <c r="I104" s="12">
        <v>39</v>
      </c>
      <c r="J104" s="12">
        <f t="shared" si="16"/>
        <v>12.362075084013441</v>
      </c>
    </row>
    <row r="105" spans="1:10" x14ac:dyDescent="0.3">
      <c r="A105" s="3"/>
      <c r="B105" s="1" t="s">
        <v>20</v>
      </c>
      <c r="C105" s="10">
        <v>469</v>
      </c>
      <c r="D105" s="10">
        <v>192.36529999999999</v>
      </c>
      <c r="E105" s="1"/>
      <c r="F105" s="1">
        <v>468</v>
      </c>
      <c r="G105" s="10">
        <v>191.95509999999999</v>
      </c>
      <c r="H105" s="11">
        <f t="shared" si="15"/>
        <v>243807.01528638729</v>
      </c>
      <c r="I105" s="12">
        <v>50</v>
      </c>
      <c r="J105" s="12">
        <f t="shared" si="16"/>
        <v>20.508023504273503</v>
      </c>
    </row>
    <row r="106" spans="1:10" x14ac:dyDescent="0.3">
      <c r="A106" s="3"/>
      <c r="B106" s="1" t="s">
        <v>21</v>
      </c>
      <c r="C106" s="10">
        <v>372</v>
      </c>
      <c r="D106" s="10">
        <v>149.364</v>
      </c>
      <c r="E106" s="1"/>
      <c r="F106" s="1">
        <v>372</v>
      </c>
      <c r="G106" s="10">
        <v>149.364</v>
      </c>
      <c r="H106" s="11">
        <f t="shared" si="15"/>
        <v>249055.99742909937</v>
      </c>
      <c r="I106" s="12">
        <v>70</v>
      </c>
      <c r="J106" s="12">
        <f t="shared" si="16"/>
        <v>28.106129032258064</v>
      </c>
    </row>
    <row r="107" spans="1:10" x14ac:dyDescent="0.3">
      <c r="A107" s="3"/>
      <c r="B107" s="1" t="s">
        <v>22</v>
      </c>
      <c r="C107" s="10">
        <v>372</v>
      </c>
      <c r="D107" s="10">
        <v>127.3353</v>
      </c>
      <c r="E107" s="1"/>
      <c r="F107" s="1">
        <v>369</v>
      </c>
      <c r="G107" s="10">
        <v>126.30840000000001</v>
      </c>
      <c r="H107" s="11">
        <f t="shared" si="15"/>
        <v>292142.09031228325</v>
      </c>
      <c r="I107" s="12">
        <v>70</v>
      </c>
      <c r="J107" s="12">
        <f t="shared" si="16"/>
        <v>23.960943089430895</v>
      </c>
    </row>
    <row r="108" spans="1:10" s="8" customFormat="1" x14ac:dyDescent="0.3">
      <c r="A108" s="4">
        <v>2019</v>
      </c>
      <c r="B108" s="5" t="s">
        <v>14</v>
      </c>
      <c r="C108" s="6">
        <v>5292</v>
      </c>
      <c r="D108" s="6">
        <v>235.17930000000001</v>
      </c>
      <c r="E108" s="5"/>
      <c r="F108" s="6">
        <v>5279</v>
      </c>
      <c r="G108" s="6">
        <v>234.60159999999999</v>
      </c>
      <c r="H108" s="7">
        <f t="shared" si="15"/>
        <v>2250197.782112313</v>
      </c>
      <c r="I108" s="8">
        <v>359</v>
      </c>
      <c r="J108" s="8">
        <f t="shared" si="16"/>
        <v>15.954153135063457</v>
      </c>
    </row>
    <row r="109" spans="1:10" x14ac:dyDescent="0.3">
      <c r="A109" s="3"/>
      <c r="B109" s="1" t="s">
        <v>16</v>
      </c>
      <c r="C109" s="10">
        <v>1834</v>
      </c>
      <c r="D109" s="10">
        <v>242.21680000000001</v>
      </c>
      <c r="E109" s="1"/>
      <c r="F109" s="10">
        <v>1831</v>
      </c>
      <c r="G109" s="10">
        <v>241.82060000000001</v>
      </c>
      <c r="H109" s="11">
        <f t="shared" si="15"/>
        <v>757172.87939902546</v>
      </c>
      <c r="I109" s="12">
        <v>35</v>
      </c>
      <c r="J109" s="12">
        <f t="shared" si="16"/>
        <v>4.6224582195521577</v>
      </c>
    </row>
    <row r="110" spans="1:10" x14ac:dyDescent="0.3">
      <c r="A110" s="3"/>
      <c r="B110" s="1" t="s">
        <v>18</v>
      </c>
      <c r="C110" s="10">
        <v>796</v>
      </c>
      <c r="D110" s="10">
        <v>219.29759999999999</v>
      </c>
      <c r="E110" s="1"/>
      <c r="F110" s="10">
        <v>794</v>
      </c>
      <c r="G110" s="10">
        <v>218.7466</v>
      </c>
      <c r="H110" s="11">
        <f t="shared" si="15"/>
        <v>362977.07027217798</v>
      </c>
      <c r="I110" s="12">
        <v>60</v>
      </c>
      <c r="J110" s="12">
        <f t="shared" si="16"/>
        <v>16.529969773299744</v>
      </c>
    </row>
    <row r="111" spans="1:10" x14ac:dyDescent="0.3">
      <c r="A111" s="3"/>
      <c r="B111" s="1" t="s">
        <v>19</v>
      </c>
      <c r="C111" s="10">
        <v>1695</v>
      </c>
      <c r="D111" s="10">
        <v>518.03179999999998</v>
      </c>
      <c r="E111" s="1"/>
      <c r="F111" s="10">
        <v>1693</v>
      </c>
      <c r="G111" s="10">
        <v>517.42049999999995</v>
      </c>
      <c r="H111" s="11">
        <f t="shared" si="15"/>
        <v>327200.02396503428</v>
      </c>
      <c r="I111" s="12">
        <v>55</v>
      </c>
      <c r="J111" s="12">
        <f t="shared" si="16"/>
        <v>16.809289722386293</v>
      </c>
    </row>
    <row r="112" spans="1:10" x14ac:dyDescent="0.3">
      <c r="A112" s="3"/>
      <c r="B112" s="1" t="s">
        <v>20</v>
      </c>
      <c r="C112" s="10">
        <v>344</v>
      </c>
      <c r="D112" s="10">
        <v>141.22149999999999</v>
      </c>
      <c r="E112" s="1"/>
      <c r="F112" s="10">
        <v>340</v>
      </c>
      <c r="G112" s="10">
        <v>139.57939999999999</v>
      </c>
      <c r="H112" s="11">
        <f t="shared" si="15"/>
        <v>243588.95367081388</v>
      </c>
      <c r="I112" s="12">
        <v>43</v>
      </c>
      <c r="J112" s="12">
        <f t="shared" si="16"/>
        <v>17.652688823529413</v>
      </c>
    </row>
    <row r="113" spans="1:10" x14ac:dyDescent="0.3">
      <c r="A113" s="3"/>
      <c r="B113" s="1" t="s">
        <v>21</v>
      </c>
      <c r="C113" s="10">
        <v>311</v>
      </c>
      <c r="D113" s="10">
        <v>117.6849</v>
      </c>
      <c r="E113" s="1"/>
      <c r="F113" s="10">
        <v>310</v>
      </c>
      <c r="G113" s="10">
        <v>117.3065</v>
      </c>
      <c r="H113" s="11">
        <f t="shared" si="15"/>
        <v>264264.98105390579</v>
      </c>
      <c r="I113" s="12">
        <v>80</v>
      </c>
      <c r="J113" s="12">
        <f t="shared" si="16"/>
        <v>30.272645161290324</v>
      </c>
    </row>
    <row r="114" spans="1:10" x14ac:dyDescent="0.3">
      <c r="A114" s="3"/>
      <c r="B114" s="1" t="s">
        <v>22</v>
      </c>
      <c r="C114" s="10">
        <v>312</v>
      </c>
      <c r="D114" s="10">
        <v>105.7649</v>
      </c>
      <c r="E114" s="1"/>
      <c r="F114" s="10">
        <v>311</v>
      </c>
      <c r="G114" s="10">
        <v>105.4259</v>
      </c>
      <c r="H114" s="11">
        <f t="shared" si="15"/>
        <v>294993.924642806</v>
      </c>
      <c r="I114" s="12">
        <v>86</v>
      </c>
      <c r="J114" s="12">
        <f t="shared" si="16"/>
        <v>29.153142765273309</v>
      </c>
    </row>
    <row r="115" spans="1:10" s="8" customFormat="1" x14ac:dyDescent="0.3">
      <c r="A115" s="4">
        <v>2020</v>
      </c>
      <c r="B115" s="5" t="s">
        <v>14</v>
      </c>
      <c r="C115" s="6">
        <v>4247</v>
      </c>
      <c r="D115" s="6">
        <v>185.2081</v>
      </c>
      <c r="E115" s="5"/>
      <c r="F115" s="6">
        <v>4239</v>
      </c>
      <c r="G115" s="6">
        <v>184.85919999999999</v>
      </c>
      <c r="H115" s="7">
        <f t="shared" si="15"/>
        <v>2293096.5837783567</v>
      </c>
      <c r="I115" s="8">
        <v>586</v>
      </c>
      <c r="J115" s="8">
        <f t="shared" si="16"/>
        <v>25.554963717857984</v>
      </c>
    </row>
    <row r="116" spans="1:10" x14ac:dyDescent="0.3">
      <c r="A116" s="3"/>
      <c r="B116" s="1" t="s">
        <v>16</v>
      </c>
      <c r="C116" s="10">
        <v>1276</v>
      </c>
      <c r="D116" s="10">
        <v>168.9066</v>
      </c>
      <c r="E116" s="1"/>
      <c r="F116" s="10">
        <v>1274</v>
      </c>
      <c r="G116" s="10">
        <v>168.64189999999999</v>
      </c>
      <c r="H116" s="11">
        <f t="shared" si="15"/>
        <v>755446.89664905344</v>
      </c>
      <c r="I116" s="12">
        <v>45</v>
      </c>
      <c r="J116" s="12">
        <f t="shared" si="16"/>
        <v>5.9567390109890104</v>
      </c>
    </row>
    <row r="117" spans="1:10" x14ac:dyDescent="0.3">
      <c r="A117" s="3"/>
      <c r="B117" s="1" t="s">
        <v>18</v>
      </c>
      <c r="C117" s="10">
        <v>654</v>
      </c>
      <c r="D117" s="10">
        <v>180.2527</v>
      </c>
      <c r="E117" s="1"/>
      <c r="F117" s="10">
        <v>653</v>
      </c>
      <c r="G117" s="10">
        <v>179.97710000000001</v>
      </c>
      <c r="H117" s="11">
        <f t="shared" si="15"/>
        <v>362823.93704532407</v>
      </c>
      <c r="I117" s="12">
        <v>74</v>
      </c>
      <c r="J117" s="12">
        <f t="shared" si="16"/>
        <v>20.395567228177644</v>
      </c>
    </row>
    <row r="118" spans="1:10" x14ac:dyDescent="0.3">
      <c r="A118" s="3"/>
      <c r="B118" s="1" t="s">
        <v>19</v>
      </c>
      <c r="C118" s="10">
        <v>1246</v>
      </c>
      <c r="D118" s="10">
        <v>337.39600000000002</v>
      </c>
      <c r="E118" s="1"/>
      <c r="F118" s="10">
        <v>1245</v>
      </c>
      <c r="G118" s="10">
        <v>337.12520000000001</v>
      </c>
      <c r="H118" s="11">
        <f t="shared" si="15"/>
        <v>369299.00226977986</v>
      </c>
      <c r="I118" s="12">
        <v>79</v>
      </c>
      <c r="J118" s="12">
        <f t="shared" si="16"/>
        <v>21.391880160642572</v>
      </c>
    </row>
    <row r="119" spans="1:10" x14ac:dyDescent="0.3">
      <c r="A119" s="3"/>
      <c r="B119" s="1" t="s">
        <v>20</v>
      </c>
      <c r="C119" s="10">
        <v>354</v>
      </c>
      <c r="D119" s="10">
        <v>144.15440000000001</v>
      </c>
      <c r="E119" s="1"/>
      <c r="F119" s="10">
        <v>353</v>
      </c>
      <c r="G119" s="10">
        <v>143.74719999999999</v>
      </c>
      <c r="H119" s="11">
        <f t="shared" si="15"/>
        <v>245570.00066783911</v>
      </c>
      <c r="I119" s="12">
        <v>154</v>
      </c>
      <c r="J119" s="12">
        <f t="shared" si="16"/>
        <v>62.711243059490087</v>
      </c>
    </row>
    <row r="120" spans="1:10" x14ac:dyDescent="0.3">
      <c r="A120" s="3"/>
      <c r="B120" s="1" t="s">
        <v>21</v>
      </c>
      <c r="C120" s="10">
        <v>295</v>
      </c>
      <c r="D120" s="10">
        <v>111.80889999999999</v>
      </c>
      <c r="E120" s="1"/>
      <c r="F120" s="10">
        <v>292</v>
      </c>
      <c r="G120" s="10">
        <v>110.67189999999999</v>
      </c>
      <c r="H120" s="11">
        <f t="shared" si="15"/>
        <v>263842.94477640669</v>
      </c>
      <c r="I120" s="12">
        <v>119</v>
      </c>
      <c r="J120" s="12">
        <f t="shared" si="16"/>
        <v>45.102589383561636</v>
      </c>
    </row>
    <row r="121" spans="1:10" x14ac:dyDescent="0.3">
      <c r="A121" s="3"/>
      <c r="B121" s="1" t="s">
        <v>22</v>
      </c>
      <c r="C121" s="10">
        <v>422</v>
      </c>
      <c r="D121" s="10">
        <v>142.51320000000001</v>
      </c>
      <c r="E121" s="1"/>
      <c r="F121" s="10">
        <v>422</v>
      </c>
      <c r="G121" s="10">
        <v>142.51320000000001</v>
      </c>
      <c r="H121" s="11">
        <f t="shared" si="15"/>
        <v>296112.9214697305</v>
      </c>
      <c r="I121" s="12">
        <v>115</v>
      </c>
      <c r="J121" s="12">
        <f t="shared" si="16"/>
        <v>38.8365355450237</v>
      </c>
    </row>
    <row r="122" spans="1:10" s="8" customFormat="1" x14ac:dyDescent="0.3">
      <c r="A122" s="4">
        <v>2021</v>
      </c>
      <c r="B122" s="5" t="s">
        <v>14</v>
      </c>
      <c r="C122" s="6">
        <v>3922</v>
      </c>
      <c r="D122" s="5">
        <v>137.17769999999999</v>
      </c>
      <c r="E122" s="5"/>
      <c r="F122" s="6">
        <v>3912</v>
      </c>
      <c r="G122" s="6">
        <v>136.8279</v>
      </c>
      <c r="H122" s="7">
        <f t="shared" si="15"/>
        <v>2859066.0238153185</v>
      </c>
      <c r="I122" s="8">
        <v>697</v>
      </c>
      <c r="J122" s="8">
        <f t="shared" si="16"/>
        <v>24.378590567484661</v>
      </c>
    </row>
    <row r="123" spans="1:10" x14ac:dyDescent="0.3">
      <c r="A123" s="3"/>
      <c r="B123" s="1" t="s">
        <v>16</v>
      </c>
      <c r="C123" s="10">
        <v>1356</v>
      </c>
      <c r="D123" s="1">
        <v>167.7636</v>
      </c>
      <c r="E123" s="1"/>
      <c r="F123" s="10">
        <v>1349</v>
      </c>
      <c r="G123" s="10">
        <v>166.89760000000001</v>
      </c>
      <c r="H123" s="11">
        <f t="shared" si="15"/>
        <v>808280.04716664576</v>
      </c>
      <c r="I123" s="12">
        <v>87</v>
      </c>
      <c r="J123" s="12">
        <f t="shared" si="16"/>
        <v>10.763596145292812</v>
      </c>
    </row>
    <row r="124" spans="1:10" x14ac:dyDescent="0.3">
      <c r="A124" s="3"/>
      <c r="B124" s="1" t="s">
        <v>18</v>
      </c>
      <c r="C124" s="10">
        <v>476</v>
      </c>
      <c r="D124" s="1">
        <v>105.8822</v>
      </c>
      <c r="E124" s="1"/>
      <c r="F124" s="10">
        <v>475</v>
      </c>
      <c r="G124" s="10">
        <v>105.6598</v>
      </c>
      <c r="H124" s="11">
        <f t="shared" si="15"/>
        <v>449556.02793115261</v>
      </c>
      <c r="I124" s="12">
        <v>91</v>
      </c>
      <c r="J124" s="12">
        <f t="shared" si="16"/>
        <v>20.242193263157894</v>
      </c>
    </row>
    <row r="125" spans="1:10" x14ac:dyDescent="0.3">
      <c r="A125" s="3"/>
      <c r="B125" s="1" t="s">
        <v>19</v>
      </c>
      <c r="C125" s="10">
        <v>1138</v>
      </c>
      <c r="D125" s="1">
        <v>176.721</v>
      </c>
      <c r="E125" s="1"/>
      <c r="F125" s="10">
        <v>1136</v>
      </c>
      <c r="G125" s="10">
        <v>176.41040000000001</v>
      </c>
      <c r="H125" s="11">
        <f t="shared" si="15"/>
        <v>643952.96422433143</v>
      </c>
      <c r="I125" s="12">
        <v>106</v>
      </c>
      <c r="J125" s="12">
        <f t="shared" si="16"/>
        <v>16.460829577464789</v>
      </c>
    </row>
    <row r="126" spans="1:10" x14ac:dyDescent="0.3">
      <c r="A126" s="3"/>
      <c r="B126" s="1" t="s">
        <v>20</v>
      </c>
      <c r="C126" s="10">
        <v>307</v>
      </c>
      <c r="D126" s="1">
        <v>95.456000000000003</v>
      </c>
      <c r="E126" s="1"/>
      <c r="F126" s="10">
        <v>307</v>
      </c>
      <c r="G126" s="10">
        <v>95.456000000000003</v>
      </c>
      <c r="H126" s="11">
        <f t="shared" si="15"/>
        <v>321614.14683204825</v>
      </c>
      <c r="I126" s="12">
        <v>83</v>
      </c>
      <c r="J126" s="12">
        <f t="shared" si="16"/>
        <v>25.807322475570032</v>
      </c>
    </row>
    <row r="127" spans="1:10" x14ac:dyDescent="0.3">
      <c r="A127" s="3"/>
      <c r="B127" s="1" t="s">
        <v>21</v>
      </c>
      <c r="C127" s="10">
        <v>275</v>
      </c>
      <c r="D127" s="1">
        <v>80.525899999999993</v>
      </c>
      <c r="E127" s="1"/>
      <c r="F127" s="10">
        <v>275</v>
      </c>
      <c r="G127" s="10">
        <v>80.525899999999993</v>
      </c>
      <c r="H127" s="11">
        <f t="shared" si="15"/>
        <v>341505.03130048845</v>
      </c>
      <c r="I127" s="12">
        <v>178</v>
      </c>
      <c r="J127" s="12">
        <f t="shared" si="16"/>
        <v>52.122218909090904</v>
      </c>
    </row>
    <row r="128" spans="1:10" x14ac:dyDescent="0.3">
      <c r="A128" s="3"/>
      <c r="B128" s="1" t="s">
        <v>22</v>
      </c>
      <c r="C128" s="10">
        <v>370</v>
      </c>
      <c r="D128" s="1">
        <v>125.78319999999999</v>
      </c>
      <c r="E128" s="1"/>
      <c r="F128" s="10">
        <v>370</v>
      </c>
      <c r="G128" s="10">
        <v>125.78319999999999</v>
      </c>
      <c r="H128" s="11">
        <f t="shared" si="15"/>
        <v>294156.93033727875</v>
      </c>
      <c r="I128" s="12">
        <v>152</v>
      </c>
      <c r="J128" s="12">
        <f t="shared" si="16"/>
        <v>51.673098378378377</v>
      </c>
    </row>
    <row r="129" spans="1:10" s="8" customFormat="1" x14ac:dyDescent="0.3">
      <c r="A129" s="4">
        <v>2022</v>
      </c>
      <c r="B129" s="5" t="s">
        <v>14</v>
      </c>
      <c r="C129" s="6">
        <v>2764</v>
      </c>
      <c r="D129" s="6">
        <v>95.793400000000005</v>
      </c>
      <c r="E129" s="5"/>
      <c r="F129" s="6">
        <v>2760</v>
      </c>
      <c r="G129" s="6">
        <v>95.654799999999994</v>
      </c>
      <c r="H129" s="7">
        <f t="shared" si="15"/>
        <v>2885375.3287864281</v>
      </c>
      <c r="I129" s="8">
        <v>894</v>
      </c>
      <c r="J129" s="8">
        <f t="shared" si="16"/>
        <v>30.983837391304341</v>
      </c>
    </row>
    <row r="130" spans="1:10" x14ac:dyDescent="0.3">
      <c r="A130" s="3"/>
      <c r="B130" s="1" t="s">
        <v>16</v>
      </c>
      <c r="C130" s="10">
        <v>792</v>
      </c>
      <c r="D130" s="10">
        <v>96.942300000000003</v>
      </c>
      <c r="E130" s="1"/>
      <c r="F130" s="10">
        <v>791</v>
      </c>
      <c r="G130" s="10">
        <v>96.819900000000004</v>
      </c>
      <c r="H130" s="11">
        <f t="shared" si="15"/>
        <v>816980.80663169443</v>
      </c>
      <c r="I130" s="12">
        <v>83</v>
      </c>
      <c r="J130" s="12">
        <f t="shared" si="16"/>
        <v>10.159357395701646</v>
      </c>
    </row>
    <row r="131" spans="1:10" x14ac:dyDescent="0.3">
      <c r="A131" s="3"/>
      <c r="B131" s="1" t="s">
        <v>18</v>
      </c>
      <c r="C131" s="10">
        <v>420</v>
      </c>
      <c r="D131" s="10">
        <v>92.296899999999994</v>
      </c>
      <c r="E131" s="1"/>
      <c r="F131" s="10">
        <v>419</v>
      </c>
      <c r="G131" s="10">
        <v>92.077200000000005</v>
      </c>
      <c r="H131" s="11">
        <f t="shared" si="15"/>
        <v>455052.93384247134</v>
      </c>
      <c r="I131" s="12">
        <v>78</v>
      </c>
      <c r="J131" s="12">
        <f t="shared" si="16"/>
        <v>17.140863007159904</v>
      </c>
    </row>
    <row r="132" spans="1:10" x14ac:dyDescent="0.3">
      <c r="A132" s="3"/>
      <c r="B132" s="1" t="s">
        <v>19</v>
      </c>
      <c r="C132" s="10">
        <v>803</v>
      </c>
      <c r="D132" s="10">
        <v>122.7089</v>
      </c>
      <c r="E132" s="1"/>
      <c r="F132" s="10">
        <v>801</v>
      </c>
      <c r="G132" s="10">
        <v>122.4033</v>
      </c>
      <c r="H132" s="11">
        <f t="shared" si="15"/>
        <v>654394.12172711024</v>
      </c>
      <c r="I132" s="12">
        <v>115</v>
      </c>
      <c r="J132" s="12">
        <f t="shared" si="16"/>
        <v>17.573507490636704</v>
      </c>
    </row>
    <row r="133" spans="1:10" x14ac:dyDescent="0.3">
      <c r="A133" s="3"/>
      <c r="B133" s="1" t="s">
        <v>20</v>
      </c>
      <c r="C133" s="10">
        <v>232</v>
      </c>
      <c r="D133" s="10">
        <v>72.344899999999996</v>
      </c>
      <c r="E133" s="1"/>
      <c r="F133" s="10">
        <v>232</v>
      </c>
      <c r="G133" s="10">
        <v>72.344899999999996</v>
      </c>
      <c r="H133" s="11">
        <f t="shared" si="15"/>
        <v>320686.04697774135</v>
      </c>
      <c r="I133" s="12">
        <v>157</v>
      </c>
      <c r="J133" s="12">
        <f t="shared" si="16"/>
        <v>48.95754008620689</v>
      </c>
    </row>
    <row r="134" spans="1:10" x14ac:dyDescent="0.3">
      <c r="A134" s="3"/>
      <c r="B134" s="1" t="s">
        <v>21</v>
      </c>
      <c r="C134" s="10">
        <v>237</v>
      </c>
      <c r="D134" s="10">
        <v>69.547399999999996</v>
      </c>
      <c r="E134" s="1"/>
      <c r="F134" s="10">
        <v>237</v>
      </c>
      <c r="G134" s="10">
        <v>69.547399999999996</v>
      </c>
      <c r="H134" s="11">
        <f t="shared" si="15"/>
        <v>340774.78094076843</v>
      </c>
      <c r="I134" s="12">
        <v>221</v>
      </c>
      <c r="J134" s="12">
        <f t="shared" si="16"/>
        <v>64.852216877637133</v>
      </c>
    </row>
    <row r="135" spans="1:10" x14ac:dyDescent="0.3">
      <c r="A135" s="3"/>
      <c r="B135" s="1" t="s">
        <v>22</v>
      </c>
      <c r="C135" s="10">
        <v>280</v>
      </c>
      <c r="D135" s="10">
        <v>94.121799999999993</v>
      </c>
      <c r="E135" s="1"/>
      <c r="F135" s="10">
        <v>280</v>
      </c>
      <c r="G135" s="10">
        <v>94.121799999999993</v>
      </c>
      <c r="H135" s="11">
        <f t="shared" si="15"/>
        <v>297486.87339171162</v>
      </c>
      <c r="I135" s="12">
        <v>240</v>
      </c>
      <c r="J135" s="12">
        <f t="shared" si="16"/>
        <v>80.675828571428568</v>
      </c>
    </row>
    <row r="136" spans="1:10" s="8" customFormat="1" x14ac:dyDescent="0.3">
      <c r="A136" s="4">
        <v>2023</v>
      </c>
      <c r="B136" s="5" t="s">
        <v>14</v>
      </c>
      <c r="C136" s="6">
        <v>2672</v>
      </c>
      <c r="D136" s="5">
        <v>92.186899999999994</v>
      </c>
      <c r="E136" s="5"/>
      <c r="F136" s="6">
        <v>2668</v>
      </c>
      <c r="G136" s="6">
        <v>92.048900000000003</v>
      </c>
      <c r="H136" s="7">
        <f t="shared" si="15"/>
        <v>2898459.4058158216</v>
      </c>
      <c r="I136" s="8">
        <v>568</v>
      </c>
      <c r="J136" s="8">
        <f t="shared" si="16"/>
        <v>19.596617391304349</v>
      </c>
    </row>
    <row r="137" spans="1:10" x14ac:dyDescent="0.3">
      <c r="A137" s="3"/>
      <c r="B137" s="1" t="s">
        <v>16</v>
      </c>
      <c r="C137" s="10">
        <v>852</v>
      </c>
      <c r="D137" s="1">
        <v>103.6276</v>
      </c>
      <c r="E137" s="1"/>
      <c r="F137" s="10">
        <v>848</v>
      </c>
      <c r="G137" s="10">
        <v>103.14109999999999</v>
      </c>
      <c r="H137" s="11">
        <f t="shared" si="15"/>
        <v>822174.67139675654</v>
      </c>
      <c r="I137" s="12">
        <v>58</v>
      </c>
      <c r="J137" s="12">
        <f t="shared" si="16"/>
        <v>7.0544620283018862</v>
      </c>
    </row>
    <row r="138" spans="1:10" x14ac:dyDescent="0.3">
      <c r="A138" s="3"/>
      <c r="B138" s="1" t="s">
        <v>18</v>
      </c>
      <c r="C138" s="10">
        <v>312</v>
      </c>
      <c r="D138" s="1">
        <v>68.040999999999997</v>
      </c>
      <c r="E138" s="1"/>
      <c r="F138" s="10">
        <v>312</v>
      </c>
      <c r="G138" s="10">
        <v>68.040999999999997</v>
      </c>
      <c r="H138" s="11">
        <f t="shared" si="15"/>
        <v>458547.05251245573</v>
      </c>
      <c r="I138" s="12">
        <v>47</v>
      </c>
      <c r="J138" s="12">
        <f t="shared" si="16"/>
        <v>10.249766025641026</v>
      </c>
    </row>
    <row r="139" spans="1:10" x14ac:dyDescent="0.3">
      <c r="A139" s="3"/>
      <c r="B139" s="1" t="s">
        <v>19</v>
      </c>
      <c r="C139" s="10">
        <v>813</v>
      </c>
      <c r="D139" s="1">
        <v>122.854</v>
      </c>
      <c r="E139" s="1"/>
      <c r="F139" s="10">
        <v>813</v>
      </c>
      <c r="G139" s="10">
        <v>122.854</v>
      </c>
      <c r="H139" s="11">
        <f t="shared" si="15"/>
        <v>661761.11481921631</v>
      </c>
      <c r="I139" s="12">
        <v>73</v>
      </c>
      <c r="J139" s="12">
        <f t="shared" si="16"/>
        <v>11.031170971709717</v>
      </c>
    </row>
    <row r="140" spans="1:10" x14ac:dyDescent="0.3">
      <c r="A140" s="3"/>
      <c r="B140" s="1" t="s">
        <v>20</v>
      </c>
      <c r="C140" s="10">
        <v>223</v>
      </c>
      <c r="D140" s="1">
        <v>70.083500000000001</v>
      </c>
      <c r="E140" s="1"/>
      <c r="F140" s="10">
        <v>223</v>
      </c>
      <c r="G140" s="10">
        <v>70.083500000000001</v>
      </c>
      <c r="H140" s="11">
        <f t="shared" si="15"/>
        <v>318191.87112515786</v>
      </c>
      <c r="I140" s="12">
        <v>66</v>
      </c>
      <c r="J140" s="12">
        <f t="shared" si="16"/>
        <v>20.742201793721971</v>
      </c>
    </row>
    <row r="141" spans="1:10" x14ac:dyDescent="0.3">
      <c r="A141" s="3"/>
      <c r="B141" s="1" t="s">
        <v>21</v>
      </c>
      <c r="C141" s="10">
        <v>212</v>
      </c>
      <c r="D141" s="1">
        <v>62.653100000000002</v>
      </c>
      <c r="E141" s="1"/>
      <c r="F141" s="10">
        <v>212</v>
      </c>
      <c r="G141" s="10">
        <v>62.653100000000002</v>
      </c>
      <c r="H141" s="11">
        <f t="shared" si="15"/>
        <v>338371.12608953106</v>
      </c>
      <c r="I141" s="12">
        <v>123</v>
      </c>
      <c r="J141" s="12">
        <f t="shared" si="16"/>
        <v>36.350619339622639</v>
      </c>
    </row>
    <row r="142" spans="1:10" x14ac:dyDescent="0.3">
      <c r="A142" s="3"/>
      <c r="B142" s="1" t="s">
        <v>22</v>
      </c>
      <c r="C142" s="10">
        <v>260</v>
      </c>
      <c r="D142" s="1">
        <v>86.8369</v>
      </c>
      <c r="E142" s="1"/>
      <c r="F142" s="10">
        <v>260</v>
      </c>
      <c r="G142" s="10">
        <v>86.8369</v>
      </c>
      <c r="H142" s="11">
        <f t="shared" si="15"/>
        <v>299411.88596092217</v>
      </c>
      <c r="I142" s="12">
        <v>201</v>
      </c>
      <c r="J142" s="12">
        <f t="shared" si="16"/>
        <v>67.131603461538461</v>
      </c>
    </row>
    <row r="143" spans="1:10" s="8" customFormat="1" x14ac:dyDescent="0.3">
      <c r="A143" s="4">
        <v>2024</v>
      </c>
      <c r="B143" s="5" t="s">
        <v>14</v>
      </c>
      <c r="C143" s="6">
        <v>2675</v>
      </c>
      <c r="D143" s="5">
        <v>91.983999999999995</v>
      </c>
      <c r="E143" s="5"/>
      <c r="F143" s="6">
        <v>2671</v>
      </c>
      <c r="G143" s="6">
        <v>91.846400000000003</v>
      </c>
      <c r="H143" s="7">
        <f t="shared" si="15"/>
        <v>2908116.1591526722</v>
      </c>
      <c r="I143" s="8">
        <v>314</v>
      </c>
      <c r="J143" s="8">
        <f t="shared" si="16"/>
        <v>10.797367877199552</v>
      </c>
    </row>
    <row r="144" spans="1:10" x14ac:dyDescent="0.3">
      <c r="A144" s="3"/>
      <c r="B144" s="1" t="s">
        <v>16</v>
      </c>
      <c r="C144" s="10">
        <v>926</v>
      </c>
      <c r="D144" s="1">
        <v>113.7826</v>
      </c>
      <c r="E144" s="1"/>
      <c r="F144" s="10">
        <v>923</v>
      </c>
      <c r="G144" s="10">
        <v>113.4139</v>
      </c>
      <c r="H144" s="11">
        <f t="shared" si="15"/>
        <v>813833.22502797272</v>
      </c>
      <c r="I144" s="12">
        <v>39</v>
      </c>
      <c r="J144" s="12">
        <f t="shared" si="16"/>
        <v>4.7921366197183106</v>
      </c>
    </row>
    <row r="145" spans="1:10" x14ac:dyDescent="0.3">
      <c r="A145" s="3"/>
      <c r="B145" s="1" t="s">
        <v>18</v>
      </c>
      <c r="C145" s="10">
        <v>333</v>
      </c>
      <c r="D145" s="1">
        <v>73.009500000000003</v>
      </c>
      <c r="E145" s="1"/>
      <c r="F145" s="10">
        <v>332</v>
      </c>
      <c r="G145" s="10">
        <v>72.790300000000002</v>
      </c>
      <c r="H145" s="11">
        <f t="shared" ref="H145:H151" si="18">F145/G145*100000</f>
        <v>456104.72823988914</v>
      </c>
      <c r="I145" s="12">
        <v>25</v>
      </c>
      <c r="J145" s="12">
        <f t="shared" ref="J145:J149" si="19">I145/H145*100000</f>
        <v>5.4811972891566256</v>
      </c>
    </row>
    <row r="146" spans="1:10" x14ac:dyDescent="0.3">
      <c r="A146" s="3"/>
      <c r="B146" s="1" t="s">
        <v>19</v>
      </c>
      <c r="C146" s="10">
        <v>689</v>
      </c>
      <c r="D146" s="1">
        <v>103.7427</v>
      </c>
      <c r="E146" s="1"/>
      <c r="F146" s="10">
        <v>689</v>
      </c>
      <c r="G146" s="10">
        <v>103.7427</v>
      </c>
      <c r="H146" s="11">
        <f t="shared" si="18"/>
        <v>664143.1156119901</v>
      </c>
      <c r="I146" s="12">
        <v>45</v>
      </c>
      <c r="J146" s="12">
        <f t="shared" si="19"/>
        <v>6.7756480406386066</v>
      </c>
    </row>
    <row r="147" spans="1:10" x14ac:dyDescent="0.3">
      <c r="A147" s="3"/>
      <c r="B147" s="1" t="s">
        <v>20</v>
      </c>
      <c r="C147" s="10">
        <v>265</v>
      </c>
      <c r="D147" s="1">
        <v>81.415000000000006</v>
      </c>
      <c r="E147" s="1"/>
      <c r="F147" s="10">
        <v>265</v>
      </c>
      <c r="G147" s="10">
        <v>81.415000000000006</v>
      </c>
      <c r="H147" s="11">
        <f t="shared" si="18"/>
        <v>325492.84529877786</v>
      </c>
      <c r="I147" s="12">
        <v>49</v>
      </c>
      <c r="J147" s="12">
        <f t="shared" si="19"/>
        <v>15.054094339622644</v>
      </c>
    </row>
    <row r="148" spans="1:10" x14ac:dyDescent="0.3">
      <c r="A148" s="3"/>
      <c r="B148" s="1" t="s">
        <v>21</v>
      </c>
      <c r="C148" s="10">
        <v>218</v>
      </c>
      <c r="D148" s="1">
        <v>62.214799999999997</v>
      </c>
      <c r="E148" s="1"/>
      <c r="F148" s="10">
        <v>218</v>
      </c>
      <c r="G148" s="10">
        <v>62.214799999999997</v>
      </c>
      <c r="H148" s="11">
        <f t="shared" si="18"/>
        <v>350398.94044503878</v>
      </c>
      <c r="I148" s="12">
        <v>64</v>
      </c>
      <c r="J148" s="12">
        <f t="shared" si="19"/>
        <v>18.264895412844037</v>
      </c>
    </row>
    <row r="149" spans="1:10" x14ac:dyDescent="0.3">
      <c r="A149" s="3"/>
      <c r="B149" s="1" t="s">
        <v>22</v>
      </c>
      <c r="C149" s="10">
        <v>244</v>
      </c>
      <c r="D149" s="1">
        <v>81.840199999999996</v>
      </c>
      <c r="E149" s="1"/>
      <c r="F149" s="10">
        <v>244</v>
      </c>
      <c r="G149" s="10">
        <v>81.840199999999996</v>
      </c>
      <c r="H149" s="11">
        <f t="shared" si="18"/>
        <v>298141.98890032037</v>
      </c>
      <c r="I149" s="12">
        <v>92</v>
      </c>
      <c r="J149" s="12">
        <f t="shared" si="19"/>
        <v>30.857780327868856</v>
      </c>
    </row>
    <row r="150" spans="1:10" s="8" customFormat="1" x14ac:dyDescent="0.3">
      <c r="A150" s="4">
        <v>2025</v>
      </c>
      <c r="B150" s="5" t="s">
        <v>14</v>
      </c>
      <c r="C150" s="6">
        <v>2675</v>
      </c>
      <c r="D150" s="5">
        <v>91.983999999999995</v>
      </c>
      <c r="E150" s="5"/>
      <c r="F150" s="5">
        <v>16310</v>
      </c>
      <c r="G150" s="5">
        <v>559.90160000000003</v>
      </c>
      <c r="H150" s="7">
        <f t="shared" si="18"/>
        <v>2913011.8577978699</v>
      </c>
    </row>
    <row r="151" spans="1:10" x14ac:dyDescent="0.3">
      <c r="A151" s="3"/>
      <c r="B151" s="1" t="s">
        <v>16</v>
      </c>
      <c r="C151" s="10">
        <v>926</v>
      </c>
      <c r="D151" s="1">
        <v>113.7826</v>
      </c>
      <c r="E151" s="1"/>
      <c r="F151" s="10">
        <v>4663</v>
      </c>
      <c r="G151" s="10">
        <v>572.40920000000006</v>
      </c>
      <c r="H151" s="11">
        <f t="shared" si="18"/>
        <v>814627.01857342618</v>
      </c>
    </row>
    <row r="152" spans="1:10" x14ac:dyDescent="0.3">
      <c r="A152" s="3"/>
      <c r="B152" s="1" t="s">
        <v>18</v>
      </c>
      <c r="C152" s="10">
        <v>333</v>
      </c>
      <c r="D152" s="1">
        <v>73.009500000000003</v>
      </c>
      <c r="E152" s="1"/>
      <c r="F152" s="10">
        <v>1836</v>
      </c>
      <c r="G152" s="10">
        <v>414.87209999999999</v>
      </c>
      <c r="H152" s="11">
        <f t="shared" ref="H152:H156" si="20">F152/G152*100000</f>
        <v>442546.02804093121</v>
      </c>
    </row>
    <row r="153" spans="1:10" x14ac:dyDescent="0.3">
      <c r="A153" s="3"/>
      <c r="B153" s="1" t="s">
        <v>19</v>
      </c>
      <c r="C153" s="10">
        <v>689</v>
      </c>
      <c r="D153" s="1">
        <v>103.7427</v>
      </c>
      <c r="E153" s="1"/>
      <c r="F153" s="10">
        <v>3849</v>
      </c>
      <c r="G153" s="10">
        <v>567.01750000000004</v>
      </c>
      <c r="H153" s="11">
        <f t="shared" si="20"/>
        <v>678815.02775487525</v>
      </c>
    </row>
    <row r="154" spans="1:10" x14ac:dyDescent="0.3">
      <c r="A154" s="3"/>
      <c r="B154" s="1" t="s">
        <v>20</v>
      </c>
      <c r="C154" s="10">
        <v>265</v>
      </c>
      <c r="D154" s="1">
        <v>81.415000000000006</v>
      </c>
      <c r="E154" s="1"/>
      <c r="F154" s="10">
        <v>1805</v>
      </c>
      <c r="G154" s="10">
        <v>551.96749999999997</v>
      </c>
      <c r="H154" s="11">
        <f t="shared" si="20"/>
        <v>327012.00704751641</v>
      </c>
    </row>
    <row r="155" spans="1:10" x14ac:dyDescent="0.3">
      <c r="A155" s="3"/>
      <c r="B155" s="1" t="s">
        <v>21</v>
      </c>
      <c r="C155" s="10">
        <v>218</v>
      </c>
      <c r="D155" s="1">
        <v>62.214799999999997</v>
      </c>
      <c r="E155" s="1"/>
      <c r="F155" s="10">
        <v>1824</v>
      </c>
      <c r="G155" s="10">
        <v>511.78449999999998</v>
      </c>
      <c r="H155" s="11">
        <f t="shared" si="20"/>
        <v>356400.00820657914</v>
      </c>
    </row>
    <row r="156" spans="1:10" x14ac:dyDescent="0.3">
      <c r="A156" s="3"/>
      <c r="B156" s="1" t="s">
        <v>22</v>
      </c>
      <c r="C156" s="10">
        <v>244</v>
      </c>
      <c r="D156" s="1">
        <v>81.840199999999996</v>
      </c>
      <c r="E156" s="1"/>
      <c r="F156" s="10">
        <v>2333</v>
      </c>
      <c r="G156" s="10">
        <v>794.58609999999999</v>
      </c>
      <c r="H156" s="11">
        <f t="shared" si="20"/>
        <v>293611.98238932196</v>
      </c>
    </row>
  </sheetData>
  <mergeCells count="2">
    <mergeCell ref="A1:D1"/>
    <mergeCell ref="F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逐年各县区发病率</vt:lpstr>
      <vt:lpstr>年均报告发病率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wu</dc:creator>
  <cp:lastModifiedBy>吴琼</cp:lastModifiedBy>
  <dcterms:created xsi:type="dcterms:W3CDTF">2015-06-05T18:19:34Z</dcterms:created>
  <dcterms:modified xsi:type="dcterms:W3CDTF">2026-09-14T08:58:18Z</dcterms:modified>
</cp:coreProperties>
</file>